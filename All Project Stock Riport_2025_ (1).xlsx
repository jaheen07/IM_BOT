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E:\probahini-backend\"/>
    </mc:Choice>
  </mc:AlternateContent>
  <xr:revisionPtr revIDLastSave="0" documentId="13_ncr:1_{E81C8BF2-3A57-4345-9B5B-99F174A6EF49}" xr6:coauthVersionLast="47" xr6:coauthVersionMax="47" xr10:uidLastSave="{00000000-0000-0000-0000-000000000000}"/>
  <bookViews>
    <workbookView xWindow="-120" yWindow="-120" windowWidth="29040" windowHeight="15720" firstSheet="14" activeTab="20" xr2:uid="{00000000-000D-0000-FFFF-FFFF00000000}"/>
  </bookViews>
  <sheets>
    <sheet name="SFBL-PB" sheetId="1" r:id="rId1"/>
    <sheet name="SFBL-AD" sheetId="36" r:id="rId2"/>
    <sheet name="SFBL-GH" sheetId="35" r:id="rId3"/>
    <sheet name="STP" sheetId="27" r:id="rId4"/>
    <sheet name="ETP" sheetId="28" r:id="rId5"/>
    <sheet name="SETL-PB" sheetId="29" r:id="rId6"/>
    <sheet name="CCKL" sheetId="30" r:id="rId7"/>
    <sheet name="STL-AB" sheetId="37" r:id="rId8"/>
    <sheet name="STL-PB" sheetId="31" r:id="rId9"/>
    <sheet name="STL-UB" sheetId="32" r:id="rId10"/>
    <sheet name="HFL -AEPZ" sheetId="33" r:id="rId11"/>
    <sheet name="SHL-B" sheetId="26" r:id="rId12"/>
    <sheet name="Mawna" sheetId="21" r:id="rId13"/>
    <sheet name="Ashulia" sheetId="13" r:id="rId14"/>
    <sheet name="RCL" sheetId="9" r:id="rId15"/>
    <sheet name="Salvase Mawna-Ashulia" sheetId="42" r:id="rId16"/>
    <sheet name="SUMMARY01" sheetId="41" r:id="rId17"/>
    <sheet name="2026 stock 15.01.26" sheetId="53" r:id="rId18"/>
    <sheet name="2026 Stock 29.01.26" sheetId="55" r:id="rId19"/>
    <sheet name="Stock 12.02.26" sheetId="56" r:id="rId20"/>
    <sheet name="Stock 26.02.26" sheetId="57" r:id="rId21"/>
    <sheet name="2024=13-6-24 stock" sheetId="54" r:id="rId22"/>
    <sheet name="Summary" sheetId="14" r:id="rId23"/>
    <sheet name="Acme Construction" sheetId="40" r:id="rId24"/>
    <sheet name="ACME Technologies" sheetId="39" r:id="rId25"/>
    <sheet name="Juliyet Villa " sheetId="34" r:id="rId26"/>
    <sheet name="Fazilat" sheetId="43" r:id="rId27"/>
    <sheet name="Acme Dhrubotara" sheetId="44" r:id="rId28"/>
    <sheet name="Acme Polarish" sheetId="45" r:id="rId29"/>
    <sheet name="Chayaneer" sheetId="49" r:id="rId30"/>
    <sheet name="Bleesing" sheetId="46" r:id="rId31"/>
    <sheet name="Nasrin Kabir Garden" sheetId="48" r:id="rId32"/>
    <sheet name="Aukotex" sheetId="47" r:id="rId33"/>
    <sheet name="Chairman House" sheetId="50" r:id="rId34"/>
    <sheet name="Acme Nasrin Villa" sheetId="51" r:id="rId35"/>
    <sheet name="Acme Juliet Villa" sheetId="52" r:id="rId36"/>
  </sheets>
  <definedNames>
    <definedName name="_xlnm.Print_Area" localSheetId="17">'2026 stock 15.01.26'!$A$1:$P$31</definedName>
    <definedName name="_xlnm.Print_Area" localSheetId="18">'2026 Stock 29.01.26'!$A$1:$P$31</definedName>
    <definedName name="_xlnm.Print_Area" localSheetId="13">Ashulia!$A$1:$X$34</definedName>
    <definedName name="_xlnm.Print_Area" localSheetId="4">ETP!$A$1:$N$34</definedName>
    <definedName name="_xlnm.Print_Area" localSheetId="10">'HFL -AEPZ'!$A$1:$AB$35</definedName>
    <definedName name="_xlnm.Print_Area" localSheetId="12">Mawna!$A$2:$AB$35</definedName>
    <definedName name="_xlnm.Print_Area" localSheetId="14">RCL!$A$1:$P$34</definedName>
    <definedName name="_xlnm.Print_Area" localSheetId="1">'SFBL-AD'!$A$1:$F$35</definedName>
    <definedName name="_xlnm.Print_Area" localSheetId="0">'SFBL-PB'!$A$1:$AB$34</definedName>
    <definedName name="_xlnm.Print_Area" localSheetId="7">'STL-AB'!$A$1:$AB$33</definedName>
    <definedName name="_xlnm.Print_Area" localSheetId="9">'STL-UB'!$A$1:$Z$34</definedName>
    <definedName name="_xlnm.Print_Area" localSheetId="19">'Stock 12.02.26'!$A$41:$N$75</definedName>
    <definedName name="_xlnm.Print_Area" localSheetId="22">Summary!$A$79:$L$412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5" i="57" l="1"/>
  <c r="K65" i="57"/>
  <c r="J65" i="57"/>
  <c r="I65" i="57"/>
  <c r="H65" i="57"/>
  <c r="G65" i="57"/>
  <c r="E65" i="57"/>
  <c r="D65" i="57"/>
  <c r="C65" i="57"/>
  <c r="M64" i="57"/>
  <c r="M63" i="57"/>
  <c r="M62" i="57"/>
  <c r="M61" i="57"/>
  <c r="M60" i="57"/>
  <c r="M59" i="57"/>
  <c r="M58" i="57"/>
  <c r="M57" i="57"/>
  <c r="M56" i="57"/>
  <c r="M55" i="57"/>
  <c r="M54" i="57"/>
  <c r="M53" i="57"/>
  <c r="M52" i="57"/>
  <c r="M51" i="57"/>
  <c r="M50" i="57"/>
  <c r="M49" i="57"/>
  <c r="M48" i="57"/>
  <c r="M47" i="57"/>
  <c r="M46" i="57"/>
  <c r="M45" i="57"/>
  <c r="M44" i="57"/>
  <c r="M43" i="57"/>
  <c r="M42" i="57"/>
  <c r="M41" i="57"/>
  <c r="M40" i="57"/>
  <c r="M39" i="57"/>
  <c r="M38" i="57"/>
  <c r="M30" i="57"/>
  <c r="J30" i="57"/>
  <c r="G30" i="57"/>
  <c r="F4" i="57"/>
  <c r="O4" i="57" s="1"/>
  <c r="O29" i="57"/>
  <c r="E18" i="57"/>
  <c r="O18" i="57" s="1"/>
  <c r="E10" i="57"/>
  <c r="E7" i="57"/>
  <c r="D30" i="57"/>
  <c r="C30" i="57"/>
  <c r="N31" i="57"/>
  <c r="K31" i="57"/>
  <c r="I31" i="57"/>
  <c r="H31" i="57"/>
  <c r="N30" i="57"/>
  <c r="L30" i="57"/>
  <c r="K30" i="57"/>
  <c r="I30" i="57"/>
  <c r="H30" i="57"/>
  <c r="O28" i="57"/>
  <c r="O27" i="57"/>
  <c r="O26" i="57"/>
  <c r="O25" i="57"/>
  <c r="O24" i="57"/>
  <c r="O23" i="57"/>
  <c r="O22" i="57"/>
  <c r="O21" i="57"/>
  <c r="O20" i="57"/>
  <c r="O19" i="57"/>
  <c r="O17" i="57"/>
  <c r="O16" i="57"/>
  <c r="O15" i="57"/>
  <c r="O14" i="57"/>
  <c r="O13" i="57"/>
  <c r="O12" i="57"/>
  <c r="O11" i="57"/>
  <c r="O10" i="57"/>
  <c r="O9" i="57"/>
  <c r="O8" i="57"/>
  <c r="O7" i="57"/>
  <c r="O6" i="57"/>
  <c r="O5" i="57"/>
  <c r="O3" i="57"/>
  <c r="I3" i="57"/>
  <c r="R32" i="13"/>
  <c r="W33" i="21"/>
  <c r="V33" i="21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1" i="26"/>
  <c r="T32" i="26"/>
  <c r="T33" i="26"/>
  <c r="T34" i="26"/>
  <c r="T35" i="26"/>
  <c r="T36" i="26"/>
  <c r="T37" i="26"/>
  <c r="T38" i="26"/>
  <c r="T4" i="26"/>
  <c r="R30" i="26"/>
  <c r="T30" i="26" s="1"/>
  <c r="R5" i="26"/>
  <c r="T5" i="26" s="1"/>
  <c r="T33" i="33"/>
  <c r="X5" i="33"/>
  <c r="X6" i="33"/>
  <c r="X7" i="33"/>
  <c r="X9" i="33"/>
  <c r="X10" i="33"/>
  <c r="X11" i="33"/>
  <c r="X12" i="33"/>
  <c r="X1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4" i="33"/>
  <c r="W8" i="33"/>
  <c r="W33" i="33" s="1"/>
  <c r="V8" i="33"/>
  <c r="V33" i="33" s="1"/>
  <c r="T34" i="32"/>
  <c r="S32" i="32"/>
  <c r="C34" i="32"/>
  <c r="T4" i="32"/>
  <c r="T33" i="32" s="1"/>
  <c r="T35" i="32" s="1"/>
  <c r="T34" i="31"/>
  <c r="T35" i="31" s="1"/>
  <c r="T33" i="31"/>
  <c r="T32" i="31"/>
  <c r="U31" i="31"/>
  <c r="U30" i="31"/>
  <c r="U29" i="31"/>
  <c r="U28" i="31"/>
  <c r="U27" i="31"/>
  <c r="U26" i="31"/>
  <c r="U25" i="31"/>
  <c r="U24" i="31"/>
  <c r="U23" i="31"/>
  <c r="U22" i="31"/>
  <c r="U21" i="31"/>
  <c r="U20" i="31"/>
  <c r="U19" i="31"/>
  <c r="U18" i="31"/>
  <c r="U17" i="31"/>
  <c r="U16" i="31"/>
  <c r="U15" i="31"/>
  <c r="U14" i="31"/>
  <c r="U13" i="31"/>
  <c r="U12" i="31"/>
  <c r="U11" i="31"/>
  <c r="U10" i="31"/>
  <c r="U9" i="31"/>
  <c r="U8" i="31"/>
  <c r="U7" i="31"/>
  <c r="U6" i="31"/>
  <c r="U5" i="31"/>
  <c r="U4" i="31"/>
  <c r="T32" i="37"/>
  <c r="V32" i="37"/>
  <c r="X32" i="37"/>
  <c r="W32" i="37"/>
  <c r="V32" i="30"/>
  <c r="X5" i="30"/>
  <c r="Y5" i="30"/>
  <c r="Y6" i="30"/>
  <c r="Y7" i="30"/>
  <c r="Y8" i="30"/>
  <c r="Y9" i="30"/>
  <c r="Z9" i="30" s="1"/>
  <c r="Y10" i="30"/>
  <c r="Y11" i="30"/>
  <c r="Y12" i="30"/>
  <c r="Y13" i="30"/>
  <c r="Y14" i="30"/>
  <c r="Y15" i="30"/>
  <c r="Z15" i="30" s="1"/>
  <c r="Y16" i="30"/>
  <c r="Z16" i="30" s="1"/>
  <c r="Y17" i="30"/>
  <c r="Y18" i="30"/>
  <c r="Y19" i="30"/>
  <c r="Y20" i="30"/>
  <c r="Y21" i="30"/>
  <c r="Z21" i="30" s="1"/>
  <c r="Y22" i="30"/>
  <c r="Y23" i="30"/>
  <c r="Y24" i="30"/>
  <c r="Y25" i="30"/>
  <c r="Y26" i="30"/>
  <c r="Z26" i="30" s="1"/>
  <c r="Y27" i="30"/>
  <c r="Y28" i="30"/>
  <c r="Z28" i="30" s="1"/>
  <c r="Y29" i="30"/>
  <c r="Y30" i="30"/>
  <c r="Y31" i="30"/>
  <c r="Z31" i="30" s="1"/>
  <c r="Y4" i="30"/>
  <c r="Z4" i="30" s="1"/>
  <c r="V33" i="29"/>
  <c r="V32" i="29"/>
  <c r="V34" i="29" s="1"/>
  <c r="W32" i="29"/>
  <c r="Q5" i="35"/>
  <c r="Q32" i="35" s="1"/>
  <c r="R32" i="35"/>
  <c r="S5" i="35"/>
  <c r="S32" i="35" s="1"/>
  <c r="Y6" i="36"/>
  <c r="Y7" i="36"/>
  <c r="Y8" i="36"/>
  <c r="Y9" i="36"/>
  <c r="Y10" i="36"/>
  <c r="Y11" i="36"/>
  <c r="Y12" i="36"/>
  <c r="Y13" i="36"/>
  <c r="Y14" i="36"/>
  <c r="Y15" i="36"/>
  <c r="Y16" i="36"/>
  <c r="Y17" i="36"/>
  <c r="Y18" i="36"/>
  <c r="Y19" i="36"/>
  <c r="Y20" i="36"/>
  <c r="Y21" i="36"/>
  <c r="Y22" i="36"/>
  <c r="Y23" i="36"/>
  <c r="Y24" i="36"/>
  <c r="Y25" i="36"/>
  <c r="Y26" i="36"/>
  <c r="Y27" i="36"/>
  <c r="Y28" i="36"/>
  <c r="Y29" i="36"/>
  <c r="Y30" i="36"/>
  <c r="Y31" i="36"/>
  <c r="Y32" i="36"/>
  <c r="Y33" i="36"/>
  <c r="Y5" i="36"/>
  <c r="X7" i="36"/>
  <c r="X8" i="36"/>
  <c r="W33" i="36"/>
  <c r="V33" i="36"/>
  <c r="V33" i="1"/>
  <c r="V32" i="1"/>
  <c r="V34" i="1" s="1"/>
  <c r="G31" i="47"/>
  <c r="M44" i="56"/>
  <c r="M71" i="56" s="1"/>
  <c r="R4" i="32"/>
  <c r="R33" i="32" s="1"/>
  <c r="N32" i="31"/>
  <c r="R34" i="31"/>
  <c r="R33" i="31"/>
  <c r="R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S5" i="31"/>
  <c r="S4" i="31"/>
  <c r="M66" i="56"/>
  <c r="M45" i="56"/>
  <c r="M46" i="56"/>
  <c r="M47" i="56"/>
  <c r="M48" i="56"/>
  <c r="M49" i="56"/>
  <c r="M50" i="56"/>
  <c r="M51" i="56"/>
  <c r="M52" i="56"/>
  <c r="M53" i="56"/>
  <c r="M54" i="56"/>
  <c r="M55" i="56"/>
  <c r="M56" i="56"/>
  <c r="M57" i="56"/>
  <c r="M58" i="56"/>
  <c r="M59" i="56"/>
  <c r="M60" i="56"/>
  <c r="M61" i="56"/>
  <c r="M62" i="56"/>
  <c r="M63" i="56"/>
  <c r="M64" i="56"/>
  <c r="M65" i="56"/>
  <c r="M67" i="56"/>
  <c r="M68" i="56"/>
  <c r="M69" i="56"/>
  <c r="M70" i="56"/>
  <c r="L71" i="56"/>
  <c r="K71" i="56"/>
  <c r="J71" i="56"/>
  <c r="I71" i="56"/>
  <c r="H71" i="56"/>
  <c r="G71" i="56"/>
  <c r="E71" i="56"/>
  <c r="D71" i="56"/>
  <c r="C71" i="56"/>
  <c r="M63" i="55"/>
  <c r="O16" i="56"/>
  <c r="O15" i="56"/>
  <c r="O14" i="56"/>
  <c r="O13" i="56"/>
  <c r="O12" i="56"/>
  <c r="O11" i="56"/>
  <c r="O9" i="56"/>
  <c r="O8" i="56"/>
  <c r="O7" i="56"/>
  <c r="O4" i="56"/>
  <c r="O3" i="56"/>
  <c r="G30" i="56"/>
  <c r="D30" i="56"/>
  <c r="N31" i="56"/>
  <c r="N30" i="56"/>
  <c r="M30" i="56"/>
  <c r="L30" i="56"/>
  <c r="H31" i="56"/>
  <c r="O32" i="56" s="1"/>
  <c r="K31" i="56"/>
  <c r="K30" i="56"/>
  <c r="J30" i="56"/>
  <c r="H30" i="56"/>
  <c r="I30" i="56"/>
  <c r="I3" i="56"/>
  <c r="I31" i="56" s="1"/>
  <c r="E10" i="56"/>
  <c r="E30" i="56" s="1"/>
  <c r="E17" i="56"/>
  <c r="E7" i="56"/>
  <c r="F30" i="56"/>
  <c r="C30" i="56"/>
  <c r="O31" i="56" s="1"/>
  <c r="O27" i="56"/>
  <c r="O26" i="56"/>
  <c r="O29" i="56"/>
  <c r="O28" i="56"/>
  <c r="O25" i="56"/>
  <c r="O24" i="56"/>
  <c r="O23" i="56"/>
  <c r="O22" i="56"/>
  <c r="O21" i="56"/>
  <c r="O20" i="56"/>
  <c r="O19" i="56"/>
  <c r="O18" i="56"/>
  <c r="O17" i="56"/>
  <c r="O6" i="56"/>
  <c r="O5" i="56"/>
  <c r="Q32" i="13"/>
  <c r="P32" i="13"/>
  <c r="N26" i="13"/>
  <c r="S33" i="21"/>
  <c r="U33" i="21"/>
  <c r="T27" i="21"/>
  <c r="T33" i="21" s="1"/>
  <c r="Q41" i="26"/>
  <c r="P41" i="26"/>
  <c r="T28" i="33"/>
  <c r="U8" i="33"/>
  <c r="U33" i="33" s="1"/>
  <c r="T8" i="33"/>
  <c r="X8" i="33" s="1"/>
  <c r="S32" i="37"/>
  <c r="U32" i="37"/>
  <c r="U32" i="30"/>
  <c r="T32" i="30"/>
  <c r="S32" i="30"/>
  <c r="U32" i="29"/>
  <c r="T32" i="29"/>
  <c r="P32" i="35"/>
  <c r="U33" i="36"/>
  <c r="T33" i="36"/>
  <c r="T33" i="1"/>
  <c r="T32" i="1"/>
  <c r="B92" i="42"/>
  <c r="O32" i="13"/>
  <c r="N32" i="13"/>
  <c r="Y6" i="21"/>
  <c r="Y7" i="21"/>
  <c r="Y8" i="21"/>
  <c r="Y9" i="21"/>
  <c r="Y10" i="21"/>
  <c r="Y11" i="21"/>
  <c r="Y12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8" i="21"/>
  <c r="Y29" i="21"/>
  <c r="Y30" i="21"/>
  <c r="Y31" i="21"/>
  <c r="Y32" i="21"/>
  <c r="Y5" i="21"/>
  <c r="R27" i="21"/>
  <c r="Y27" i="21" s="1"/>
  <c r="P34" i="21"/>
  <c r="O41" i="26"/>
  <c r="N41" i="26"/>
  <c r="S8" i="33"/>
  <c r="S33" i="33" s="1"/>
  <c r="R28" i="33"/>
  <c r="R8" i="33"/>
  <c r="P4" i="32"/>
  <c r="P32" i="32" s="1"/>
  <c r="L34" i="31"/>
  <c r="P34" i="31"/>
  <c r="P33" i="31"/>
  <c r="P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Q10" i="31"/>
  <c r="Q9" i="31"/>
  <c r="Q8" i="31"/>
  <c r="Q7" i="31"/>
  <c r="Q6" i="31"/>
  <c r="Q5" i="31"/>
  <c r="Q4" i="31"/>
  <c r="R32" i="37"/>
  <c r="R32" i="30"/>
  <c r="Z6" i="30"/>
  <c r="Z8" i="30"/>
  <c r="Z10" i="30"/>
  <c r="Z11" i="30"/>
  <c r="Z12" i="30"/>
  <c r="Z13" i="30"/>
  <c r="Z14" i="30"/>
  <c r="Z17" i="30"/>
  <c r="Z18" i="30"/>
  <c r="Z19" i="30"/>
  <c r="Z20" i="30"/>
  <c r="Z22" i="30"/>
  <c r="Z23" i="30"/>
  <c r="Z24" i="30"/>
  <c r="Z25" i="30"/>
  <c r="Z27" i="30"/>
  <c r="Z29" i="30"/>
  <c r="Z30" i="30"/>
  <c r="S32" i="29"/>
  <c r="R32" i="29"/>
  <c r="Q32" i="29"/>
  <c r="N32" i="35"/>
  <c r="O5" i="35"/>
  <c r="O32" i="35" s="1"/>
  <c r="S33" i="36"/>
  <c r="R33" i="36"/>
  <c r="R33" i="1"/>
  <c r="R32" i="1"/>
  <c r="O4" i="55"/>
  <c r="O5" i="55"/>
  <c r="O6" i="55"/>
  <c r="O8" i="55"/>
  <c r="O9" i="55"/>
  <c r="O11" i="55"/>
  <c r="O12" i="55"/>
  <c r="O13" i="55"/>
  <c r="O14" i="55"/>
  <c r="O15" i="55"/>
  <c r="O16" i="55"/>
  <c r="O18" i="55"/>
  <c r="O19" i="55"/>
  <c r="O20" i="55"/>
  <c r="O21" i="55"/>
  <c r="O22" i="55"/>
  <c r="O23" i="55"/>
  <c r="O24" i="55"/>
  <c r="O25" i="55"/>
  <c r="O27" i="55"/>
  <c r="O29" i="55"/>
  <c r="C3" i="55"/>
  <c r="C30" i="55" s="1"/>
  <c r="E17" i="55"/>
  <c r="O17" i="55" s="1"/>
  <c r="E10" i="55"/>
  <c r="O10" i="55" s="1"/>
  <c r="E7" i="55"/>
  <c r="O7" i="55" s="1"/>
  <c r="H30" i="55"/>
  <c r="J30" i="55"/>
  <c r="L63" i="55"/>
  <c r="K63" i="55"/>
  <c r="J63" i="55"/>
  <c r="I63" i="55"/>
  <c r="H63" i="55"/>
  <c r="G63" i="55"/>
  <c r="F63" i="55"/>
  <c r="E63" i="55"/>
  <c r="D63" i="55"/>
  <c r="C63" i="55"/>
  <c r="N30" i="55"/>
  <c r="M30" i="55"/>
  <c r="L30" i="55"/>
  <c r="K30" i="55"/>
  <c r="I30" i="55"/>
  <c r="G30" i="55"/>
  <c r="F30" i="55"/>
  <c r="D30" i="55"/>
  <c r="O28" i="55"/>
  <c r="O26" i="55"/>
  <c r="M32" i="13"/>
  <c r="L32" i="13"/>
  <c r="M41" i="26"/>
  <c r="L41" i="26"/>
  <c r="Q33" i="21"/>
  <c r="P13" i="21"/>
  <c r="P33" i="21" s="1"/>
  <c r="Q8" i="33"/>
  <c r="Q33" i="33" s="1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8" i="32"/>
  <c r="V29" i="32"/>
  <c r="V31" i="32"/>
  <c r="N34" i="32"/>
  <c r="P34" i="32" s="1"/>
  <c r="R34" i="32" s="1"/>
  <c r="N4" i="32"/>
  <c r="V4" i="32" s="1"/>
  <c r="O26" i="31"/>
  <c r="O27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O18" i="31"/>
  <c r="O19" i="31"/>
  <c r="O20" i="31"/>
  <c r="O21" i="31"/>
  <c r="O22" i="31"/>
  <c r="O23" i="31"/>
  <c r="O24" i="31"/>
  <c r="O25" i="31"/>
  <c r="O29" i="31"/>
  <c r="O30" i="31"/>
  <c r="O31" i="31"/>
  <c r="O4" i="31"/>
  <c r="N34" i="31"/>
  <c r="N33" i="31"/>
  <c r="P33" i="29"/>
  <c r="R33" i="29" s="1"/>
  <c r="T33" i="29" s="1"/>
  <c r="L32" i="35"/>
  <c r="M5" i="35"/>
  <c r="M32" i="35" s="1"/>
  <c r="P33" i="36"/>
  <c r="X33" i="36" s="1"/>
  <c r="Q33" i="36"/>
  <c r="P33" i="1"/>
  <c r="P32" i="1"/>
  <c r="G78" i="42"/>
  <c r="G74" i="42"/>
  <c r="G91" i="42" s="1"/>
  <c r="G70" i="42"/>
  <c r="G69" i="42"/>
  <c r="G67" i="42"/>
  <c r="G64" i="42"/>
  <c r="G55" i="42"/>
  <c r="G54" i="42"/>
  <c r="F91" i="42"/>
  <c r="P8" i="33"/>
  <c r="P33" i="33" s="1"/>
  <c r="Q32" i="37"/>
  <c r="P32" i="37"/>
  <c r="AA5" i="37"/>
  <c r="AA6" i="37"/>
  <c r="AA7" i="37"/>
  <c r="AA8" i="37"/>
  <c r="AA9" i="37"/>
  <c r="AA10" i="37"/>
  <c r="AA11" i="37"/>
  <c r="AA12" i="37"/>
  <c r="AA13" i="37"/>
  <c r="AA14" i="37"/>
  <c r="AA15" i="37"/>
  <c r="AA16" i="37"/>
  <c r="AA17" i="37"/>
  <c r="AA18" i="37"/>
  <c r="AA19" i="37"/>
  <c r="AA20" i="37"/>
  <c r="AA21" i="37"/>
  <c r="AA22" i="37"/>
  <c r="AA23" i="37"/>
  <c r="AA24" i="37"/>
  <c r="AA25" i="37"/>
  <c r="AA26" i="37"/>
  <c r="AA27" i="37"/>
  <c r="AA28" i="37"/>
  <c r="AA29" i="37"/>
  <c r="AA30" i="37"/>
  <c r="AA31" i="37"/>
  <c r="AA4" i="37"/>
  <c r="P32" i="30"/>
  <c r="P34" i="30" s="1"/>
  <c r="P36" i="30" s="1"/>
  <c r="AA5" i="30"/>
  <c r="AA6" i="30"/>
  <c r="AA7" i="30"/>
  <c r="AA8" i="30"/>
  <c r="AA9" i="30"/>
  <c r="AA10" i="30"/>
  <c r="AA11" i="30"/>
  <c r="AA12" i="30"/>
  <c r="AA13" i="30"/>
  <c r="AA14" i="30"/>
  <c r="AA15" i="30"/>
  <c r="AA16" i="30"/>
  <c r="AA17" i="30"/>
  <c r="AA18" i="30"/>
  <c r="AA19" i="30"/>
  <c r="AA20" i="30"/>
  <c r="AA21" i="30"/>
  <c r="AA22" i="30"/>
  <c r="AA23" i="30"/>
  <c r="AA24" i="30"/>
  <c r="AA25" i="30"/>
  <c r="AA26" i="30"/>
  <c r="AA27" i="30"/>
  <c r="AA28" i="30"/>
  <c r="AA29" i="30"/>
  <c r="AA30" i="30"/>
  <c r="AA31" i="30"/>
  <c r="AA4" i="30"/>
  <c r="Z7" i="30"/>
  <c r="P32" i="29"/>
  <c r="Z5" i="29"/>
  <c r="Z6" i="29"/>
  <c r="Z7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9" i="29"/>
  <c r="Z31" i="29"/>
  <c r="Z4" i="29"/>
  <c r="N33" i="29"/>
  <c r="M63" i="53"/>
  <c r="C63" i="53"/>
  <c r="D63" i="53"/>
  <c r="E63" i="53"/>
  <c r="F63" i="53"/>
  <c r="G63" i="53"/>
  <c r="H63" i="53"/>
  <c r="I63" i="53"/>
  <c r="J63" i="53"/>
  <c r="K63" i="53"/>
  <c r="L63" i="53"/>
  <c r="F63" i="54"/>
  <c r="E63" i="54"/>
  <c r="D63" i="54"/>
  <c r="C63" i="54"/>
  <c r="G62" i="54"/>
  <c r="G61" i="54"/>
  <c r="G60" i="54"/>
  <c r="G59" i="54"/>
  <c r="G58" i="54"/>
  <c r="G57" i="54"/>
  <c r="G56" i="54"/>
  <c r="G55" i="54"/>
  <c r="G54" i="54"/>
  <c r="G53" i="54"/>
  <c r="G52" i="54"/>
  <c r="G51" i="54"/>
  <c r="G50" i="54"/>
  <c r="G49" i="54"/>
  <c r="G48" i="54"/>
  <c r="G47" i="54"/>
  <c r="G46" i="54"/>
  <c r="G45" i="54"/>
  <c r="G44" i="54"/>
  <c r="G43" i="54"/>
  <c r="G42" i="54"/>
  <c r="G41" i="54"/>
  <c r="G40" i="54"/>
  <c r="G39" i="54"/>
  <c r="G38" i="54"/>
  <c r="G37" i="54"/>
  <c r="G36" i="54"/>
  <c r="N4" i="54"/>
  <c r="N5" i="54"/>
  <c r="N6" i="54"/>
  <c r="N7" i="54"/>
  <c r="N8" i="54"/>
  <c r="N9" i="54"/>
  <c r="N10" i="54"/>
  <c r="N11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" i="54"/>
  <c r="L30" i="54"/>
  <c r="K12" i="54"/>
  <c r="K30" i="54" s="1"/>
  <c r="C30" i="54"/>
  <c r="D30" i="54"/>
  <c r="E30" i="54"/>
  <c r="F30" i="54"/>
  <c r="G30" i="54"/>
  <c r="H30" i="54"/>
  <c r="M30" i="54"/>
  <c r="J30" i="54"/>
  <c r="I30" i="54"/>
  <c r="N30" i="53"/>
  <c r="C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6" i="53"/>
  <c r="O5" i="53"/>
  <c r="O4" i="53"/>
  <c r="O3" i="53"/>
  <c r="H30" i="53"/>
  <c r="K30" i="53"/>
  <c r="I30" i="53"/>
  <c r="H27" i="53"/>
  <c r="M30" i="53"/>
  <c r="L30" i="53"/>
  <c r="J30" i="53"/>
  <c r="D30" i="53"/>
  <c r="G30" i="53"/>
  <c r="F30" i="53"/>
  <c r="E7" i="53"/>
  <c r="E30" i="53" s="1"/>
  <c r="E31" i="52"/>
  <c r="D31" i="52"/>
  <c r="E31" i="51"/>
  <c r="D31" i="51"/>
  <c r="E31" i="50"/>
  <c r="D31" i="50"/>
  <c r="E31" i="47"/>
  <c r="D31" i="47"/>
  <c r="D31" i="48"/>
  <c r="G31" i="48"/>
  <c r="F31" i="48"/>
  <c r="G31" i="49"/>
  <c r="F31" i="49"/>
  <c r="D31" i="49"/>
  <c r="F31" i="46"/>
  <c r="F31" i="45"/>
  <c r="F31" i="44"/>
  <c r="F31" i="43"/>
  <c r="F31" i="34"/>
  <c r="D13" i="46"/>
  <c r="D3" i="46"/>
  <c r="D4" i="46"/>
  <c r="G31" i="46"/>
  <c r="G31" i="45"/>
  <c r="D31" i="45"/>
  <c r="F14" i="42"/>
  <c r="F33" i="42"/>
  <c r="F30" i="42"/>
  <c r="F24" i="42"/>
  <c r="F20" i="42"/>
  <c r="F19" i="42"/>
  <c r="F17" i="42"/>
  <c r="F4" i="42"/>
  <c r="I15" i="41"/>
  <c r="H15" i="41"/>
  <c r="H16" i="41"/>
  <c r="I10" i="41"/>
  <c r="H10" i="41"/>
  <c r="I9" i="41"/>
  <c r="H9" i="41"/>
  <c r="H14" i="41"/>
  <c r="H17" i="41"/>
  <c r="I7" i="41"/>
  <c r="H7" i="41"/>
  <c r="I6" i="41"/>
  <c r="H6" i="41"/>
  <c r="H5" i="41"/>
  <c r="I14" i="41"/>
  <c r="D17" i="44"/>
  <c r="D31" i="44" s="1"/>
  <c r="G31" i="44"/>
  <c r="O33" i="42"/>
  <c r="O14" i="42"/>
  <c r="O17" i="42"/>
  <c r="O20" i="42"/>
  <c r="O19" i="42"/>
  <c r="O24" i="42"/>
  <c r="O10" i="42"/>
  <c r="O11" i="42"/>
  <c r="O12" i="42"/>
  <c r="O9" i="42"/>
  <c r="O8" i="42"/>
  <c r="O4" i="42"/>
  <c r="O28" i="42"/>
  <c r="O30" i="42"/>
  <c r="O5" i="42"/>
  <c r="K4" i="42"/>
  <c r="C9" i="39"/>
  <c r="C12" i="39"/>
  <c r="D3" i="43"/>
  <c r="D31" i="43" s="1"/>
  <c r="G31" i="43"/>
  <c r="D31" i="41"/>
  <c r="D30" i="41"/>
  <c r="D29" i="41"/>
  <c r="D28" i="41"/>
  <c r="D27" i="41"/>
  <c r="D18" i="41"/>
  <c r="D17" i="41"/>
  <c r="D13" i="41"/>
  <c r="D12" i="41"/>
  <c r="D11" i="41"/>
  <c r="D10" i="41"/>
  <c r="D9" i="41"/>
  <c r="D8" i="41"/>
  <c r="D7" i="41"/>
  <c r="D6" i="41"/>
  <c r="C30" i="41"/>
  <c r="C29" i="41"/>
  <c r="C28" i="41"/>
  <c r="C27" i="41"/>
  <c r="C26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C8" i="41"/>
  <c r="C7" i="41"/>
  <c r="C6" i="41"/>
  <c r="C5" i="41"/>
  <c r="K32" i="13"/>
  <c r="J32" i="13"/>
  <c r="C25" i="41"/>
  <c r="O32" i="30"/>
  <c r="K41" i="26"/>
  <c r="J30" i="26"/>
  <c r="J41" i="26" s="1"/>
  <c r="P57" i="40"/>
  <c r="O60" i="40"/>
  <c r="N60" i="40"/>
  <c r="K40" i="42"/>
  <c r="K5" i="42"/>
  <c r="K14" i="42"/>
  <c r="K26" i="42"/>
  <c r="K20" i="42"/>
  <c r="K10" i="42"/>
  <c r="K11" i="42"/>
  <c r="K24" i="42"/>
  <c r="K17" i="42"/>
  <c r="K33" i="42"/>
  <c r="K19" i="42"/>
  <c r="J32" i="35"/>
  <c r="K5" i="35"/>
  <c r="K32" i="35" s="1"/>
  <c r="AD33" i="33"/>
  <c r="O33" i="36"/>
  <c r="N33" i="36"/>
  <c r="O32" i="1"/>
  <c r="N33" i="1"/>
  <c r="N28" i="1"/>
  <c r="N32" i="1" s="1"/>
  <c r="N30" i="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30" i="21"/>
  <c r="X32" i="21"/>
  <c r="X5" i="21"/>
  <c r="O33" i="21"/>
  <c r="O33" i="56" l="1"/>
  <c r="M65" i="57"/>
  <c r="R32" i="32"/>
  <c r="T32" i="32"/>
  <c r="O3" i="55"/>
  <c r="O10" i="56"/>
  <c r="N12" i="54"/>
  <c r="E30" i="57"/>
  <c r="R41" i="26"/>
  <c r="C14" i="39"/>
  <c r="F30" i="57"/>
  <c r="N35" i="31"/>
  <c r="G64" i="54"/>
  <c r="O30" i="57"/>
  <c r="O31" i="57"/>
  <c r="P35" i="21"/>
  <c r="R33" i="33"/>
  <c r="R35" i="32"/>
  <c r="N32" i="32"/>
  <c r="R35" i="31"/>
  <c r="P35" i="31"/>
  <c r="T33" i="30"/>
  <c r="T34" i="29"/>
  <c r="P34" i="29"/>
  <c r="T34" i="1"/>
  <c r="P33" i="32"/>
  <c r="P35" i="32" s="1"/>
  <c r="O30" i="56"/>
  <c r="Y13" i="21"/>
  <c r="Z13" i="21" s="1"/>
  <c r="R33" i="21"/>
  <c r="R35" i="21" s="1"/>
  <c r="Z5" i="30"/>
  <c r="R34" i="29"/>
  <c r="R34" i="1"/>
  <c r="N33" i="32"/>
  <c r="N35" i="32" s="1"/>
  <c r="AA32" i="37"/>
  <c r="P34" i="1"/>
  <c r="N34" i="1"/>
  <c r="O30" i="55"/>
  <c r="P35" i="56" s="1"/>
  <c r="E30" i="55"/>
  <c r="Z33" i="29"/>
  <c r="N31" i="54"/>
  <c r="N30" i="54"/>
  <c r="O7" i="53"/>
  <c r="O30" i="53" s="1"/>
  <c r="D31" i="46"/>
  <c r="F41" i="42"/>
  <c r="O41" i="42"/>
  <c r="N59" i="40" s="1"/>
  <c r="R59" i="40" s="1"/>
  <c r="K41" i="42"/>
  <c r="Z5" i="33"/>
  <c r="Z7" i="33"/>
  <c r="Z9" i="33"/>
  <c r="AA9" i="33" s="1"/>
  <c r="Z10" i="33"/>
  <c r="AA10" i="33" s="1"/>
  <c r="AB10" i="33" s="1"/>
  <c r="Z14" i="33"/>
  <c r="AB14" i="33" s="1"/>
  <c r="Z15" i="33"/>
  <c r="AB15" i="33" s="1"/>
  <c r="Z16" i="33"/>
  <c r="AB16" i="33" s="1"/>
  <c r="Z17" i="33"/>
  <c r="Z18" i="33"/>
  <c r="Z20" i="33"/>
  <c r="AB20" i="33" s="1"/>
  <c r="Z21" i="33"/>
  <c r="AB21" i="33" s="1"/>
  <c r="Z24" i="33"/>
  <c r="AB24" i="33" s="1"/>
  <c r="Z25" i="33"/>
  <c r="AB25" i="33" s="1"/>
  <c r="Z26" i="33"/>
  <c r="AB26" i="33" s="1"/>
  <c r="Z27" i="33"/>
  <c r="AA27" i="33" s="1"/>
  <c r="AB27" i="33" s="1"/>
  <c r="Z30" i="33"/>
  <c r="AB30" i="33" s="1"/>
  <c r="O8" i="33"/>
  <c r="O33" i="33" s="1"/>
  <c r="N8" i="33"/>
  <c r="N31" i="21"/>
  <c r="X31" i="21" s="1"/>
  <c r="Z31" i="21" s="1"/>
  <c r="AA31" i="21" s="1"/>
  <c r="N29" i="21"/>
  <c r="X29" i="21" s="1"/>
  <c r="Z29" i="21" s="1"/>
  <c r="AA29" i="21" s="1"/>
  <c r="N28" i="21"/>
  <c r="X28" i="21" s="1"/>
  <c r="Z28" i="21" s="1"/>
  <c r="AA28" i="21" s="1"/>
  <c r="N27" i="21"/>
  <c r="X27" i="21" s="1"/>
  <c r="L33" i="32"/>
  <c r="L30" i="32"/>
  <c r="L27" i="32"/>
  <c r="L28" i="31"/>
  <c r="O32" i="37"/>
  <c r="N32" i="37"/>
  <c r="N32" i="30"/>
  <c r="L32" i="30"/>
  <c r="N30" i="29"/>
  <c r="Z30" i="29" s="1"/>
  <c r="N28" i="29"/>
  <c r="Z28" i="29" s="1"/>
  <c r="N27" i="29"/>
  <c r="B30" i="42"/>
  <c r="B28" i="42"/>
  <c r="B33" i="42"/>
  <c r="B14" i="42"/>
  <c r="B17" i="42"/>
  <c r="B20" i="42"/>
  <c r="B19" i="42"/>
  <c r="B24" i="42"/>
  <c r="B10" i="42"/>
  <c r="B11" i="42"/>
  <c r="B12" i="42"/>
  <c r="B9" i="42"/>
  <c r="B8" i="42"/>
  <c r="B4" i="42"/>
  <c r="D26" i="31"/>
  <c r="I41" i="26"/>
  <c r="J33" i="21"/>
  <c r="C435" i="14" s="1"/>
  <c r="H435" i="14" s="1"/>
  <c r="K435" i="14" s="1"/>
  <c r="K33" i="21"/>
  <c r="M33" i="21"/>
  <c r="L33" i="21"/>
  <c r="Z12" i="33"/>
  <c r="AA12" i="33" s="1"/>
  <c r="AB12" i="33" s="1"/>
  <c r="Z23" i="33"/>
  <c r="AB23" i="33" s="1"/>
  <c r="Z32" i="33"/>
  <c r="AB32" i="33" s="1"/>
  <c r="L8" i="33"/>
  <c r="M8" i="33"/>
  <c r="M33" i="33" s="1"/>
  <c r="L31" i="33"/>
  <c r="L29" i="33"/>
  <c r="L28" i="33"/>
  <c r="Z28" i="33" s="1"/>
  <c r="AA28" i="33" s="1"/>
  <c r="AB28" i="33" s="1"/>
  <c r="J30" i="32"/>
  <c r="J27" i="32"/>
  <c r="J28" i="31"/>
  <c r="K32" i="37"/>
  <c r="M32" i="37"/>
  <c r="L27" i="37"/>
  <c r="L30" i="37"/>
  <c r="L28" i="37"/>
  <c r="J27" i="37"/>
  <c r="M32" i="30"/>
  <c r="K32" i="29"/>
  <c r="M32" i="29"/>
  <c r="L30" i="29"/>
  <c r="L28" i="29"/>
  <c r="L27" i="29"/>
  <c r="I5" i="35"/>
  <c r="I32" i="35" s="1"/>
  <c r="H32" i="35"/>
  <c r="M33" i="36"/>
  <c r="L31" i="36"/>
  <c r="L28" i="36"/>
  <c r="L28" i="1"/>
  <c r="J34" i="9"/>
  <c r="J33" i="9"/>
  <c r="J32" i="9"/>
  <c r="D433" i="14" s="1"/>
  <c r="H433" i="14" s="1"/>
  <c r="K433" i="14" s="1"/>
  <c r="K448" i="14"/>
  <c r="K443" i="14"/>
  <c r="H442" i="14"/>
  <c r="H441" i="14"/>
  <c r="K441" i="14" s="1"/>
  <c r="H440" i="14"/>
  <c r="H439" i="14"/>
  <c r="H438" i="14"/>
  <c r="G437" i="14"/>
  <c r="G449" i="14" s="1"/>
  <c r="C437" i="14"/>
  <c r="H437" i="14" s="1"/>
  <c r="K437" i="14" s="1"/>
  <c r="K434" i="14"/>
  <c r="H426" i="14"/>
  <c r="K426" i="14" s="1"/>
  <c r="H425" i="14"/>
  <c r="K425" i="14" s="1"/>
  <c r="F449" i="14"/>
  <c r="M60" i="40"/>
  <c r="L60" i="40"/>
  <c r="K60" i="40"/>
  <c r="O61" i="40" s="1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C61" i="40"/>
  <c r="R61" i="40" s="1"/>
  <c r="H30" i="26"/>
  <c r="H41" i="26" s="1"/>
  <c r="K8" i="33"/>
  <c r="K33" i="33" s="1"/>
  <c r="J31" i="33"/>
  <c r="J29" i="33"/>
  <c r="J28" i="33"/>
  <c r="J8" i="33"/>
  <c r="J30" i="37"/>
  <c r="J28" i="37"/>
  <c r="K32" i="30"/>
  <c r="J32" i="30"/>
  <c r="C428" i="14" s="1"/>
  <c r="H428" i="14" s="1"/>
  <c r="K428" i="14" s="1"/>
  <c r="J30" i="29"/>
  <c r="J28" i="29"/>
  <c r="J27" i="29"/>
  <c r="G5" i="35"/>
  <c r="G32" i="35" s="1"/>
  <c r="F32" i="35"/>
  <c r="C424" i="14" s="1"/>
  <c r="K33" i="36"/>
  <c r="J33" i="36"/>
  <c r="C423" i="14" s="1"/>
  <c r="H423" i="14" s="1"/>
  <c r="J28" i="1"/>
  <c r="J32" i="1" s="1"/>
  <c r="I3" i="40" s="1"/>
  <c r="O18" i="40"/>
  <c r="N18" i="40"/>
  <c r="M18" i="40"/>
  <c r="L18" i="40"/>
  <c r="K18" i="40"/>
  <c r="O22" i="40" s="1"/>
  <c r="C3" i="40"/>
  <c r="U21" i="13"/>
  <c r="V21" i="13" s="1"/>
  <c r="X21" i="13" s="1"/>
  <c r="U4" i="13"/>
  <c r="Z26" i="21"/>
  <c r="Z20" i="21"/>
  <c r="AB20" i="21" s="1"/>
  <c r="Z22" i="21"/>
  <c r="AB22" i="21" s="1"/>
  <c r="Z12" i="21"/>
  <c r="V28" i="26"/>
  <c r="V11" i="26"/>
  <c r="V24" i="26"/>
  <c r="V20" i="26"/>
  <c r="V6" i="26"/>
  <c r="W6" i="26" s="1"/>
  <c r="U11" i="13"/>
  <c r="U6" i="13"/>
  <c r="V6" i="13" s="1"/>
  <c r="U8" i="13"/>
  <c r="V8" i="13" s="1"/>
  <c r="U14" i="13"/>
  <c r="V14" i="13" s="1"/>
  <c r="X14" i="13" s="1"/>
  <c r="Z8" i="21"/>
  <c r="D14" i="40"/>
  <c r="C14" i="40"/>
  <c r="H14" i="40" s="1"/>
  <c r="H32" i="9"/>
  <c r="V5" i="26"/>
  <c r="W5" i="26" s="1"/>
  <c r="V7" i="26"/>
  <c r="V8" i="26"/>
  <c r="W8" i="26" s="1"/>
  <c r="V9" i="26"/>
  <c r="W9" i="26" s="1"/>
  <c r="V10" i="26"/>
  <c r="V12" i="26"/>
  <c r="V13" i="26"/>
  <c r="V14" i="26"/>
  <c r="V15" i="26"/>
  <c r="V16" i="26"/>
  <c r="W16" i="26" s="1"/>
  <c r="V17" i="26"/>
  <c r="V18" i="26"/>
  <c r="V19" i="26"/>
  <c r="V21" i="26"/>
  <c r="V22" i="26"/>
  <c r="V23" i="26"/>
  <c r="V25" i="26"/>
  <c r="V26" i="26"/>
  <c r="V27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G41" i="26"/>
  <c r="C17" i="40"/>
  <c r="H17" i="40" s="1"/>
  <c r="C16" i="40"/>
  <c r="H16" i="40" s="1"/>
  <c r="Z6" i="21"/>
  <c r="Z7" i="21"/>
  <c r="Z9" i="21"/>
  <c r="Z10" i="21"/>
  <c r="Z11" i="21"/>
  <c r="Z14" i="21"/>
  <c r="AB14" i="21" s="1"/>
  <c r="Z15" i="21"/>
  <c r="AB15" i="21" s="1"/>
  <c r="Z16" i="21"/>
  <c r="AB16" i="21" s="1"/>
  <c r="Z17" i="21"/>
  <c r="Z18" i="21"/>
  <c r="AA18" i="21" s="1"/>
  <c r="Z21" i="21"/>
  <c r="AB21" i="21" s="1"/>
  <c r="Z23" i="21"/>
  <c r="AB23" i="21" s="1"/>
  <c r="Z24" i="21"/>
  <c r="AB24" i="21" s="1"/>
  <c r="Z25" i="21"/>
  <c r="AB25" i="21" s="1"/>
  <c r="Z27" i="21"/>
  <c r="Z30" i="21"/>
  <c r="Z32" i="21"/>
  <c r="AB32" i="21" s="1"/>
  <c r="I33" i="21"/>
  <c r="H33" i="21"/>
  <c r="K6" i="39"/>
  <c r="K7" i="39"/>
  <c r="I6" i="39"/>
  <c r="I7" i="39"/>
  <c r="I8" i="39"/>
  <c r="I11" i="39"/>
  <c r="H4" i="39"/>
  <c r="I4" i="39" s="1"/>
  <c r="H5" i="39"/>
  <c r="I5" i="39" s="1"/>
  <c r="K5" i="39" s="1"/>
  <c r="H6" i="39"/>
  <c r="H7" i="39"/>
  <c r="H8" i="39"/>
  <c r="H9" i="39"/>
  <c r="I9" i="39" s="1"/>
  <c r="H10" i="39"/>
  <c r="I10" i="39" s="1"/>
  <c r="K10" i="39" s="1"/>
  <c r="H11" i="39"/>
  <c r="H12" i="39"/>
  <c r="I12" i="39" s="1"/>
  <c r="K12" i="39" s="1"/>
  <c r="H3" i="39"/>
  <c r="I3" i="39" s="1"/>
  <c r="V5" i="13"/>
  <c r="V7" i="13"/>
  <c r="V9" i="13"/>
  <c r="V10" i="13"/>
  <c r="V12" i="13"/>
  <c r="V13" i="13"/>
  <c r="X13" i="13" s="1"/>
  <c r="V15" i="13"/>
  <c r="X15" i="13" s="1"/>
  <c r="V16" i="13"/>
  <c r="V17" i="13"/>
  <c r="W17" i="13" s="1"/>
  <c r="X17" i="13" s="1"/>
  <c r="V18" i="13"/>
  <c r="X18" i="13" s="1"/>
  <c r="V19" i="13"/>
  <c r="X19" i="13" s="1"/>
  <c r="V20" i="13"/>
  <c r="X20" i="13" s="1"/>
  <c r="V22" i="13"/>
  <c r="X22" i="13" s="1"/>
  <c r="V23" i="13"/>
  <c r="X23" i="13" s="1"/>
  <c r="V24" i="13"/>
  <c r="X24" i="13" s="1"/>
  <c r="V25" i="13"/>
  <c r="X25" i="13" s="1"/>
  <c r="V26" i="13"/>
  <c r="W26" i="13" s="1"/>
  <c r="X26" i="13" s="1"/>
  <c r="V27" i="13"/>
  <c r="W27" i="13" s="1"/>
  <c r="V28" i="13"/>
  <c r="W28" i="13" s="1"/>
  <c r="V29" i="13"/>
  <c r="X29" i="13" s="1"/>
  <c r="V30" i="13"/>
  <c r="W30" i="13" s="1"/>
  <c r="V31" i="13"/>
  <c r="H32" i="13"/>
  <c r="P32" i="9"/>
  <c r="N5" i="9"/>
  <c r="N6" i="9"/>
  <c r="N7" i="9"/>
  <c r="N8" i="9"/>
  <c r="N9" i="9"/>
  <c r="N10" i="9"/>
  <c r="N11" i="9"/>
  <c r="N12" i="9"/>
  <c r="N13" i="9"/>
  <c r="P13" i="9" s="1"/>
  <c r="N14" i="9"/>
  <c r="P14" i="9" s="1"/>
  <c r="N15" i="9"/>
  <c r="P15" i="9" s="1"/>
  <c r="N16" i="9"/>
  <c r="N17" i="9"/>
  <c r="O17" i="9" s="1"/>
  <c r="P17" i="9" s="1"/>
  <c r="N18" i="9"/>
  <c r="P18" i="9" s="1"/>
  <c r="N19" i="9"/>
  <c r="P19" i="9" s="1"/>
  <c r="N20" i="9"/>
  <c r="P20" i="9" s="1"/>
  <c r="N21" i="9"/>
  <c r="P21" i="9" s="1"/>
  <c r="N22" i="9"/>
  <c r="P22" i="9" s="1"/>
  <c r="N23" i="9"/>
  <c r="P23" i="9" s="1"/>
  <c r="N24" i="9"/>
  <c r="P24" i="9" s="1"/>
  <c r="N25" i="9"/>
  <c r="P25" i="9" s="1"/>
  <c r="N26" i="9"/>
  <c r="O26" i="9" s="1"/>
  <c r="P26" i="9" s="1"/>
  <c r="N27" i="9"/>
  <c r="N28" i="9"/>
  <c r="O28" i="9" s="1"/>
  <c r="N29" i="9"/>
  <c r="N30" i="9"/>
  <c r="O30" i="9" s="1"/>
  <c r="P30" i="9" s="1"/>
  <c r="N31" i="9"/>
  <c r="N4" i="9"/>
  <c r="P4" i="9" s="1"/>
  <c r="F33" i="9"/>
  <c r="F34" i="9"/>
  <c r="F32" i="9"/>
  <c r="D34" i="9"/>
  <c r="D32" i="9"/>
  <c r="H34" i="9"/>
  <c r="H33" i="9"/>
  <c r="X5" i="32"/>
  <c r="X6" i="32"/>
  <c r="X7" i="32"/>
  <c r="X8" i="32"/>
  <c r="X9" i="32"/>
  <c r="X10" i="32"/>
  <c r="X11" i="32"/>
  <c r="X12" i="32"/>
  <c r="X13" i="32"/>
  <c r="Z13" i="32" s="1"/>
  <c r="X14" i="32"/>
  <c r="Z14" i="32" s="1"/>
  <c r="X15" i="32"/>
  <c r="Z15" i="32" s="1"/>
  <c r="X16" i="32"/>
  <c r="X17" i="32"/>
  <c r="X18" i="32"/>
  <c r="Z18" i="32" s="1"/>
  <c r="X19" i="32"/>
  <c r="Z19" i="32" s="1"/>
  <c r="X20" i="32"/>
  <c r="Z20" i="32" s="1"/>
  <c r="X21" i="32"/>
  <c r="Z21" i="32" s="1"/>
  <c r="X22" i="32"/>
  <c r="Z22" i="32" s="1"/>
  <c r="X23" i="32"/>
  <c r="Z23" i="32" s="1"/>
  <c r="X24" i="32"/>
  <c r="Z24" i="32" s="1"/>
  <c r="X25" i="32"/>
  <c r="Z25" i="32" s="1"/>
  <c r="X26" i="32"/>
  <c r="X28" i="32"/>
  <c r="X29" i="32"/>
  <c r="X31" i="32"/>
  <c r="X4" i="32"/>
  <c r="Z4" i="32" s="1"/>
  <c r="H33" i="32"/>
  <c r="D33" i="32"/>
  <c r="H30" i="32"/>
  <c r="H27" i="32"/>
  <c r="Z6" i="33"/>
  <c r="AA6" i="33" s="1"/>
  <c r="Z13" i="33"/>
  <c r="AA13" i="33" s="1"/>
  <c r="AB13" i="33" s="1"/>
  <c r="Z19" i="33"/>
  <c r="AB19" i="33" s="1"/>
  <c r="Z22" i="33"/>
  <c r="AB22" i="33" s="1"/>
  <c r="I8" i="33"/>
  <c r="I33" i="33" s="1"/>
  <c r="D27" i="33"/>
  <c r="H8" i="33"/>
  <c r="I32" i="37"/>
  <c r="H32" i="37"/>
  <c r="X5" i="31"/>
  <c r="X6" i="31"/>
  <c r="X7" i="31"/>
  <c r="X8" i="31"/>
  <c r="X9" i="31"/>
  <c r="X10" i="31"/>
  <c r="X11" i="31"/>
  <c r="X12" i="31"/>
  <c r="X13" i="31"/>
  <c r="X14" i="31"/>
  <c r="X15" i="31"/>
  <c r="X16" i="31"/>
  <c r="X17" i="31"/>
  <c r="Y17" i="31" s="1"/>
  <c r="X18" i="31"/>
  <c r="X19" i="31"/>
  <c r="X20" i="31"/>
  <c r="X21" i="31"/>
  <c r="X22" i="31"/>
  <c r="X23" i="31"/>
  <c r="X24" i="31"/>
  <c r="X25" i="31"/>
  <c r="X26" i="31"/>
  <c r="X27" i="31"/>
  <c r="Y27" i="31" s="1"/>
  <c r="X29" i="31"/>
  <c r="X30" i="31"/>
  <c r="Y30" i="31" s="1"/>
  <c r="X31" i="31"/>
  <c r="X4" i="31"/>
  <c r="H34" i="31"/>
  <c r="H28" i="31"/>
  <c r="H33" i="31" s="1"/>
  <c r="D28" i="31"/>
  <c r="D34" i="31"/>
  <c r="I32" i="30"/>
  <c r="H4" i="30"/>
  <c r="N5" i="27"/>
  <c r="N18" i="27"/>
  <c r="N19" i="27"/>
  <c r="N20" i="27"/>
  <c r="N21" i="27"/>
  <c r="M28" i="27"/>
  <c r="M12" i="27"/>
  <c r="M11" i="27"/>
  <c r="M9" i="27"/>
  <c r="L5" i="27"/>
  <c r="L6" i="27"/>
  <c r="L7" i="27"/>
  <c r="L8" i="27"/>
  <c r="M8" i="27" s="1"/>
  <c r="L9" i="27"/>
  <c r="N9" i="27" s="1"/>
  <c r="L10" i="27"/>
  <c r="N10" i="27" s="1"/>
  <c r="L11" i="27"/>
  <c r="N11" i="27" s="1"/>
  <c r="L12" i="27"/>
  <c r="N12" i="27" s="1"/>
  <c r="L13" i="27"/>
  <c r="N13" i="27" s="1"/>
  <c r="L14" i="27"/>
  <c r="N14" i="27" s="1"/>
  <c r="L15" i="27"/>
  <c r="N15" i="27" s="1"/>
  <c r="L16" i="27"/>
  <c r="L17" i="27"/>
  <c r="N17" i="27" s="1"/>
  <c r="L18" i="27"/>
  <c r="L19" i="27"/>
  <c r="L20" i="27"/>
  <c r="L21" i="27"/>
  <c r="L22" i="27"/>
  <c r="N22" i="27" s="1"/>
  <c r="L23" i="27"/>
  <c r="N23" i="27" s="1"/>
  <c r="L24" i="27"/>
  <c r="N24" i="27" s="1"/>
  <c r="L25" i="27"/>
  <c r="N25" i="27" s="1"/>
  <c r="L26" i="27"/>
  <c r="N26" i="27" s="1"/>
  <c r="L27" i="27"/>
  <c r="N27" i="27" s="1"/>
  <c r="L28" i="27"/>
  <c r="N28" i="27" s="1"/>
  <c r="L29" i="27"/>
  <c r="N29" i="27" s="1"/>
  <c r="L31" i="27"/>
  <c r="N31" i="27" s="1"/>
  <c r="L4" i="27"/>
  <c r="N4" i="27" s="1"/>
  <c r="I32" i="29"/>
  <c r="E32" i="29"/>
  <c r="H30" i="29"/>
  <c r="H28" i="29"/>
  <c r="F33" i="29"/>
  <c r="G32" i="29"/>
  <c r="F30" i="29"/>
  <c r="N12" i="28"/>
  <c r="N13" i="28"/>
  <c r="N14" i="28"/>
  <c r="N18" i="28"/>
  <c r="N26" i="28"/>
  <c r="N28" i="28"/>
  <c r="N30" i="28"/>
  <c r="I32" i="28"/>
  <c r="L5" i="28"/>
  <c r="N5" i="28" s="1"/>
  <c r="L6" i="28"/>
  <c r="M6" i="28" s="1"/>
  <c r="L7" i="28"/>
  <c r="M7" i="28" s="1"/>
  <c r="L8" i="28"/>
  <c r="L9" i="28"/>
  <c r="M9" i="28" s="1"/>
  <c r="L10" i="28"/>
  <c r="M10" i="28" s="1"/>
  <c r="N10" i="28" s="1"/>
  <c r="L11" i="28"/>
  <c r="M11" i="28" s="1"/>
  <c r="L12" i="28"/>
  <c r="M12" i="28" s="1"/>
  <c r="L13" i="28"/>
  <c r="L14" i="28"/>
  <c r="L15" i="28"/>
  <c r="N15" i="28" s="1"/>
  <c r="L16" i="28"/>
  <c r="M16" i="28" s="1"/>
  <c r="L17" i="28"/>
  <c r="N17" i="28" s="1"/>
  <c r="L18" i="28"/>
  <c r="L19" i="28"/>
  <c r="N19" i="28" s="1"/>
  <c r="L20" i="28"/>
  <c r="N20" i="28" s="1"/>
  <c r="L21" i="28"/>
  <c r="N21" i="28" s="1"/>
  <c r="L22" i="28"/>
  <c r="N22" i="28" s="1"/>
  <c r="L23" i="28"/>
  <c r="N23" i="28" s="1"/>
  <c r="L24" i="28"/>
  <c r="N24" i="28" s="1"/>
  <c r="L25" i="28"/>
  <c r="N25" i="28" s="1"/>
  <c r="L26" i="28"/>
  <c r="L27" i="28"/>
  <c r="M27" i="28" s="1"/>
  <c r="L28" i="28"/>
  <c r="L29" i="28"/>
  <c r="N29" i="28" s="1"/>
  <c r="L30" i="28"/>
  <c r="L31" i="28"/>
  <c r="N31" i="28" s="1"/>
  <c r="L4" i="28"/>
  <c r="N4" i="28" s="1"/>
  <c r="H32" i="28"/>
  <c r="G32" i="28"/>
  <c r="F32" i="28"/>
  <c r="I32" i="27"/>
  <c r="H30" i="27"/>
  <c r="L30" i="27" s="1"/>
  <c r="N30" i="27" s="1"/>
  <c r="G32" i="27"/>
  <c r="E32" i="27"/>
  <c r="I33" i="36"/>
  <c r="E5" i="35"/>
  <c r="E32" i="35" s="1"/>
  <c r="V5" i="35"/>
  <c r="W5" i="35" s="1"/>
  <c r="V6" i="35"/>
  <c r="W6" i="35" s="1"/>
  <c r="V7" i="35"/>
  <c r="W7" i="35" s="1"/>
  <c r="V8" i="35"/>
  <c r="W8" i="35" s="1"/>
  <c r="X8" i="35" s="1"/>
  <c r="V9" i="35"/>
  <c r="W9" i="35" s="1"/>
  <c r="V10" i="35"/>
  <c r="W10" i="35" s="1"/>
  <c r="V11" i="35"/>
  <c r="V12" i="35"/>
  <c r="V13" i="35"/>
  <c r="V14" i="35"/>
  <c r="V15" i="35"/>
  <c r="V16" i="35"/>
  <c r="V17" i="35"/>
  <c r="V18" i="35"/>
  <c r="V19" i="35"/>
  <c r="V20" i="35"/>
  <c r="V21" i="35"/>
  <c r="V22" i="35"/>
  <c r="V23" i="35"/>
  <c r="V24" i="35"/>
  <c r="V25" i="35"/>
  <c r="V26" i="35"/>
  <c r="V27" i="35"/>
  <c r="V28" i="35"/>
  <c r="V29" i="35"/>
  <c r="V30" i="35"/>
  <c r="V31" i="35"/>
  <c r="V4" i="35"/>
  <c r="D32" i="35"/>
  <c r="AA6" i="36"/>
  <c r="AA31" i="36"/>
  <c r="AB31" i="36" s="1"/>
  <c r="Z5" i="1"/>
  <c r="Z6" i="1"/>
  <c r="Z7" i="1"/>
  <c r="Z10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9" i="1"/>
  <c r="Z30" i="1"/>
  <c r="Z31" i="1"/>
  <c r="Z4" i="1"/>
  <c r="H33" i="36"/>
  <c r="H27" i="1"/>
  <c r="H11" i="1"/>
  <c r="Z11" i="1" s="1"/>
  <c r="H9" i="1"/>
  <c r="Z9" i="1" s="1"/>
  <c r="H8" i="1"/>
  <c r="Z8" i="1" s="1"/>
  <c r="C22" i="40"/>
  <c r="C15" i="40"/>
  <c r="H15" i="40" s="1"/>
  <c r="C13" i="40"/>
  <c r="H13" i="40" s="1"/>
  <c r="D12" i="40"/>
  <c r="C12" i="40"/>
  <c r="H12" i="40" s="1"/>
  <c r="C11" i="40"/>
  <c r="H11" i="40" s="1"/>
  <c r="C10" i="40"/>
  <c r="H10" i="40" s="1"/>
  <c r="C9" i="40"/>
  <c r="H9" i="40" s="1"/>
  <c r="C8" i="40"/>
  <c r="H8" i="40" s="1"/>
  <c r="C7" i="40"/>
  <c r="H7" i="40" s="1"/>
  <c r="C6" i="40"/>
  <c r="H6" i="40" s="1"/>
  <c r="C5" i="40"/>
  <c r="H5" i="40" s="1"/>
  <c r="C4" i="40"/>
  <c r="H4" i="40" s="1"/>
  <c r="G13" i="39"/>
  <c r="F13" i="39"/>
  <c r="E13" i="39"/>
  <c r="H13" i="39" s="1"/>
  <c r="C401" i="14"/>
  <c r="C376" i="14"/>
  <c r="C399" i="14"/>
  <c r="C397" i="14"/>
  <c r="D396" i="14"/>
  <c r="C396" i="14"/>
  <c r="C395" i="14"/>
  <c r="C394" i="14"/>
  <c r="C393" i="14"/>
  <c r="C392" i="14"/>
  <c r="C391" i="14"/>
  <c r="C390" i="14"/>
  <c r="C389" i="14"/>
  <c r="C388" i="14"/>
  <c r="M32" i="28" l="1"/>
  <c r="N16" i="27"/>
  <c r="N6" i="27"/>
  <c r="L32" i="28"/>
  <c r="N27" i="28"/>
  <c r="N11" i="28"/>
  <c r="M16" i="27"/>
  <c r="P34" i="56"/>
  <c r="P36" i="56" s="1"/>
  <c r="P38" i="56" s="1"/>
  <c r="E73" i="56"/>
  <c r="E75" i="56" s="1"/>
  <c r="N7" i="28"/>
  <c r="N9" i="28"/>
  <c r="N6" i="28"/>
  <c r="K11" i="39"/>
  <c r="J35" i="9"/>
  <c r="M8" i="28"/>
  <c r="N8" i="28" s="1"/>
  <c r="K8" i="39"/>
  <c r="M6" i="27"/>
  <c r="N8" i="27"/>
  <c r="N16" i="28"/>
  <c r="M7" i="27"/>
  <c r="N7" i="27" s="1"/>
  <c r="P71" i="56"/>
  <c r="P73" i="56" s="1"/>
  <c r="C19" i="40"/>
  <c r="C23" i="40" s="1"/>
  <c r="V33" i="32"/>
  <c r="AA28" i="29"/>
  <c r="N33" i="33"/>
  <c r="H34" i="32"/>
  <c r="D431" i="14" s="1"/>
  <c r="H431" i="14" s="1"/>
  <c r="K431" i="14" s="1"/>
  <c r="L32" i="32"/>
  <c r="V32" i="32" s="1"/>
  <c r="V27" i="32"/>
  <c r="X27" i="32" s="1"/>
  <c r="L34" i="32"/>
  <c r="V34" i="32" s="1"/>
  <c r="V30" i="32"/>
  <c r="X30" i="32" s="1"/>
  <c r="Y30" i="32" s="1"/>
  <c r="Z30" i="32" s="1"/>
  <c r="L33" i="31"/>
  <c r="L35" i="31" s="1"/>
  <c r="O28" i="31"/>
  <c r="Z27" i="29"/>
  <c r="AA27" i="29" s="1"/>
  <c r="N32" i="29"/>
  <c r="L33" i="36"/>
  <c r="C436" i="14"/>
  <c r="H436" i="14" s="1"/>
  <c r="H43" i="26"/>
  <c r="H35" i="31"/>
  <c r="L32" i="31"/>
  <c r="L32" i="1"/>
  <c r="Z28" i="1"/>
  <c r="AA28" i="1" s="1"/>
  <c r="N33" i="21"/>
  <c r="AE33" i="33"/>
  <c r="Z4" i="33"/>
  <c r="L32" i="29"/>
  <c r="J32" i="29"/>
  <c r="C427" i="14" s="1"/>
  <c r="H427" i="14" s="1"/>
  <c r="K427" i="14" s="1"/>
  <c r="AA30" i="29"/>
  <c r="N61" i="40"/>
  <c r="B41" i="42"/>
  <c r="D42" i="42" s="1"/>
  <c r="D45" i="42" s="1"/>
  <c r="I13" i="39"/>
  <c r="K13" i="39" s="1"/>
  <c r="K4" i="39"/>
  <c r="K3" i="39"/>
  <c r="K9" i="39"/>
  <c r="H14" i="39"/>
  <c r="U32" i="13"/>
  <c r="V4" i="13"/>
  <c r="X4" i="13" s="1"/>
  <c r="Z29" i="33"/>
  <c r="AA29" i="33" s="1"/>
  <c r="L33" i="33"/>
  <c r="Z31" i="33"/>
  <c r="AA31" i="33" s="1"/>
  <c r="H32" i="32"/>
  <c r="D32" i="31"/>
  <c r="D33" i="31"/>
  <c r="D429" i="14" s="1"/>
  <c r="J32" i="37"/>
  <c r="C430" i="14" s="1"/>
  <c r="H430" i="14" s="1"/>
  <c r="K430" i="14" s="1"/>
  <c r="Z32" i="30"/>
  <c r="X33" i="21"/>
  <c r="Z19" i="21"/>
  <c r="AB19" i="21" s="1"/>
  <c r="Z5" i="21"/>
  <c r="AB5" i="21" s="1"/>
  <c r="J33" i="33"/>
  <c r="Y17" i="32"/>
  <c r="Z17" i="32" s="1"/>
  <c r="X28" i="31"/>
  <c r="Y28" i="31" s="1"/>
  <c r="X34" i="31"/>
  <c r="H32" i="31"/>
  <c r="L32" i="37"/>
  <c r="X6" i="35"/>
  <c r="C422" i="14"/>
  <c r="Z27" i="1"/>
  <c r="AA27" i="1" s="1"/>
  <c r="H32" i="1"/>
  <c r="Z32" i="1" s="1"/>
  <c r="F35" i="9"/>
  <c r="K423" i="14"/>
  <c r="I442" i="14"/>
  <c r="K442" i="14" s="1"/>
  <c r="I438" i="14"/>
  <c r="K438" i="14" s="1"/>
  <c r="I439" i="14"/>
  <c r="K439" i="14" s="1"/>
  <c r="E449" i="14"/>
  <c r="I440" i="14"/>
  <c r="K440" i="14" s="1"/>
  <c r="O19" i="40"/>
  <c r="AA18" i="33"/>
  <c r="AB18" i="33" s="1"/>
  <c r="AB6" i="33"/>
  <c r="AA17" i="33"/>
  <c r="AB17" i="33" s="1"/>
  <c r="AA5" i="33"/>
  <c r="AA7" i="33"/>
  <c r="AB7" i="33" s="1"/>
  <c r="AB9" i="33"/>
  <c r="H32" i="30"/>
  <c r="H32" i="29"/>
  <c r="X9" i="35"/>
  <c r="W16" i="35"/>
  <c r="X16" i="35" s="1"/>
  <c r="W11" i="35"/>
  <c r="X11" i="35" s="1"/>
  <c r="X5" i="35"/>
  <c r="X10" i="35"/>
  <c r="X7" i="35"/>
  <c r="C24" i="40"/>
  <c r="H3" i="40"/>
  <c r="AB31" i="21"/>
  <c r="AB18" i="21"/>
  <c r="X30" i="13"/>
  <c r="X28" i="13"/>
  <c r="X27" i="13"/>
  <c r="V11" i="13"/>
  <c r="AA9" i="36"/>
  <c r="AB26" i="21"/>
  <c r="AB29" i="21"/>
  <c r="AB28" i="21"/>
  <c r="AA28" i="36"/>
  <c r="AB6" i="36"/>
  <c r="P28" i="9"/>
  <c r="H35" i="9"/>
  <c r="H33" i="33"/>
  <c r="L32" i="27"/>
  <c r="H32" i="27"/>
  <c r="M33" i="28"/>
  <c r="C387" i="14"/>
  <c r="D413" i="14"/>
  <c r="K388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H345" i="14"/>
  <c r="I338" i="14"/>
  <c r="P333" i="14" s="1"/>
  <c r="K352" i="14"/>
  <c r="H342" i="14"/>
  <c r="I342" i="14" s="1"/>
  <c r="K342" i="14" s="1"/>
  <c r="H343" i="14"/>
  <c r="I343" i="14" s="1"/>
  <c r="H344" i="14"/>
  <c r="I344" i="14" s="1"/>
  <c r="H346" i="14"/>
  <c r="E413" i="14"/>
  <c r="K387" i="14"/>
  <c r="D382" i="14"/>
  <c r="K381" i="14"/>
  <c r="K380" i="14"/>
  <c r="K379" i="14"/>
  <c r="K378" i="14"/>
  <c r="K377" i="14"/>
  <c r="K376" i="14"/>
  <c r="G376" i="14"/>
  <c r="C382" i="14"/>
  <c r="H375" i="14"/>
  <c r="K375" i="14" s="1"/>
  <c r="G374" i="14"/>
  <c r="F374" i="14"/>
  <c r="J373" i="14"/>
  <c r="I373" i="14"/>
  <c r="G373" i="14"/>
  <c r="F373" i="14"/>
  <c r="H372" i="14"/>
  <c r="K372" i="14" s="1"/>
  <c r="G371" i="14"/>
  <c r="H371" i="14" s="1"/>
  <c r="K371" i="14" s="1"/>
  <c r="H370" i="14"/>
  <c r="K370" i="14" s="1"/>
  <c r="I369" i="14"/>
  <c r="F369" i="14"/>
  <c r="H369" i="14" s="1"/>
  <c r="H368" i="14"/>
  <c r="K368" i="14" s="1"/>
  <c r="H367" i="14"/>
  <c r="K367" i="14" s="1"/>
  <c r="L366" i="14"/>
  <c r="H366" i="14"/>
  <c r="K366" i="14" s="1"/>
  <c r="H365" i="14"/>
  <c r="K365" i="14" s="1"/>
  <c r="H364" i="14"/>
  <c r="K364" i="14" s="1"/>
  <c r="G363" i="14"/>
  <c r="F363" i="14"/>
  <c r="E363" i="14"/>
  <c r="E382" i="14" s="1"/>
  <c r="H362" i="14"/>
  <c r="C341" i="14"/>
  <c r="C353" i="14" s="1"/>
  <c r="L331" i="14"/>
  <c r="H329" i="14"/>
  <c r="N329" i="14" s="1"/>
  <c r="H330" i="14"/>
  <c r="N330" i="14" s="1"/>
  <c r="H331" i="14"/>
  <c r="N331" i="14" s="1"/>
  <c r="H332" i="14"/>
  <c r="H333" i="14"/>
  <c r="K333" i="14" s="1"/>
  <c r="H335" i="14"/>
  <c r="K335" i="14" s="1"/>
  <c r="H337" i="14"/>
  <c r="N337" i="14" s="1"/>
  <c r="H327" i="14"/>
  <c r="K347" i="14"/>
  <c r="F338" i="14"/>
  <c r="G338" i="14"/>
  <c r="F328" i="14"/>
  <c r="E328" i="14"/>
  <c r="E353" i="14" s="1"/>
  <c r="F28" i="36"/>
  <c r="F33" i="36" s="1"/>
  <c r="G328" i="14"/>
  <c r="I334" i="14"/>
  <c r="F334" i="14"/>
  <c r="H334" i="14" s="1"/>
  <c r="H340" i="14"/>
  <c r="N340" i="14" s="1"/>
  <c r="J338" i="14"/>
  <c r="D33" i="9"/>
  <c r="D35" i="9" s="1"/>
  <c r="F8" i="33"/>
  <c r="F33" i="33" s="1"/>
  <c r="F28" i="29"/>
  <c r="F32" i="29" s="1"/>
  <c r="F34" i="29" s="1"/>
  <c r="D32" i="1"/>
  <c r="C299" i="14" s="1"/>
  <c r="H299" i="14" s="1"/>
  <c r="F27" i="1"/>
  <c r="F32" i="1" s="1"/>
  <c r="F31" i="21"/>
  <c r="F29" i="21"/>
  <c r="F28" i="21"/>
  <c r="D27" i="13"/>
  <c r="F27" i="13"/>
  <c r="D28" i="13"/>
  <c r="F28" i="13"/>
  <c r="D30" i="13"/>
  <c r="F30" i="13"/>
  <c r="D26" i="13"/>
  <c r="D6" i="13"/>
  <c r="F26" i="13"/>
  <c r="E32" i="13"/>
  <c r="G8" i="33"/>
  <c r="D8" i="33"/>
  <c r="F33" i="32"/>
  <c r="F27" i="32"/>
  <c r="F30" i="32"/>
  <c r="E32" i="28"/>
  <c r="F30" i="27"/>
  <c r="F32" i="27" s="1"/>
  <c r="D25" i="37"/>
  <c r="D27" i="37"/>
  <c r="F27" i="37"/>
  <c r="D28" i="37"/>
  <c r="F28" i="37"/>
  <c r="F30" i="37"/>
  <c r="G32" i="37"/>
  <c r="E32" i="37"/>
  <c r="F34" i="31"/>
  <c r="F28" i="31"/>
  <c r="F33" i="31" s="1"/>
  <c r="D27" i="30"/>
  <c r="F27" i="30"/>
  <c r="D30" i="30"/>
  <c r="F30" i="30"/>
  <c r="G32" i="30"/>
  <c r="E32" i="30"/>
  <c r="D27" i="29"/>
  <c r="D28" i="29"/>
  <c r="D30" i="29"/>
  <c r="AA12" i="36"/>
  <c r="AB12" i="36" s="1"/>
  <c r="D8" i="1"/>
  <c r="F8" i="1"/>
  <c r="D9" i="1"/>
  <c r="F9" i="1"/>
  <c r="D11" i="1"/>
  <c r="F11" i="1"/>
  <c r="G341" i="14"/>
  <c r="G339" i="14"/>
  <c r="F339" i="14"/>
  <c r="G336" i="14"/>
  <c r="H314" i="14"/>
  <c r="H315" i="14"/>
  <c r="H316" i="14"/>
  <c r="H317" i="14"/>
  <c r="G308" i="14"/>
  <c r="F311" i="14"/>
  <c r="G300" i="14"/>
  <c r="G311" i="14"/>
  <c r="F300" i="14"/>
  <c r="F306" i="14"/>
  <c r="G310" i="14"/>
  <c r="J310" i="14"/>
  <c r="G313" i="14"/>
  <c r="H313" i="14" s="1"/>
  <c r="F310" i="14"/>
  <c r="I299" i="14"/>
  <c r="E33" i="21"/>
  <c r="D31" i="21"/>
  <c r="D29" i="21"/>
  <c r="D28" i="21"/>
  <c r="D30" i="32"/>
  <c r="D27" i="32"/>
  <c r="D30" i="27"/>
  <c r="D33" i="29"/>
  <c r="D4" i="33"/>
  <c r="E8" i="33"/>
  <c r="E319" i="14"/>
  <c r="D319" i="14"/>
  <c r="H318" i="14"/>
  <c r="C18" i="14"/>
  <c r="C171" i="14"/>
  <c r="H269" i="14"/>
  <c r="H270" i="14"/>
  <c r="H271" i="14"/>
  <c r="H272" i="14"/>
  <c r="H273" i="14"/>
  <c r="H274" i="14"/>
  <c r="H275" i="14"/>
  <c r="H276" i="14"/>
  <c r="H277" i="14"/>
  <c r="H278" i="14"/>
  <c r="H280" i="14"/>
  <c r="H281" i="14"/>
  <c r="H282" i="14"/>
  <c r="H283" i="14"/>
  <c r="H284" i="14"/>
  <c r="H245" i="14"/>
  <c r="H268" i="14"/>
  <c r="C279" i="14"/>
  <c r="H279" i="14" s="1"/>
  <c r="H225" i="14"/>
  <c r="D285" i="14"/>
  <c r="F285" i="14"/>
  <c r="E285" i="14"/>
  <c r="E257" i="14"/>
  <c r="H257" i="14" s="1"/>
  <c r="G256" i="14"/>
  <c r="G262" i="14" s="1"/>
  <c r="E255" i="14"/>
  <c r="H255" i="14" s="1"/>
  <c r="D262" i="14"/>
  <c r="H261" i="14"/>
  <c r="H260" i="14"/>
  <c r="H259" i="14"/>
  <c r="H258" i="14"/>
  <c r="C256" i="14"/>
  <c r="C262" i="14" s="1"/>
  <c r="H254" i="14"/>
  <c r="H253" i="14"/>
  <c r="H252" i="14"/>
  <c r="F251" i="14"/>
  <c r="H251" i="14" s="1"/>
  <c r="H250" i="14"/>
  <c r="E249" i="14"/>
  <c r="H248" i="14"/>
  <c r="H247" i="14"/>
  <c r="H246" i="14"/>
  <c r="O31" i="9"/>
  <c r="P31" i="9" s="1"/>
  <c r="O29" i="9"/>
  <c r="P29" i="9" s="1"/>
  <c r="O27" i="9"/>
  <c r="P27" i="9" s="1"/>
  <c r="O7" i="9"/>
  <c r="P7" i="9" s="1"/>
  <c r="O6" i="9"/>
  <c r="P6" i="9" s="1"/>
  <c r="O5" i="9"/>
  <c r="P5" i="9" s="1"/>
  <c r="O11" i="9"/>
  <c r="P11" i="9" s="1"/>
  <c r="O9" i="9"/>
  <c r="P9" i="9" s="1"/>
  <c r="O10" i="9"/>
  <c r="P10" i="9" s="1"/>
  <c r="O12" i="9"/>
  <c r="P12" i="9" s="1"/>
  <c r="O16" i="9"/>
  <c r="P16" i="9" s="1"/>
  <c r="O8" i="9"/>
  <c r="P8" i="9" s="1"/>
  <c r="N33" i="9"/>
  <c r="E235" i="14"/>
  <c r="H235" i="14" s="1"/>
  <c r="J235" i="14" s="1"/>
  <c r="E232" i="14"/>
  <c r="F228" i="14"/>
  <c r="F239" i="14" s="1"/>
  <c r="E226" i="14"/>
  <c r="H226" i="14" s="1"/>
  <c r="G239" i="14"/>
  <c r="D239" i="14"/>
  <c r="H238" i="14"/>
  <c r="H237" i="14"/>
  <c r="H236" i="14"/>
  <c r="C234" i="14"/>
  <c r="H234" i="14" s="1"/>
  <c r="C233" i="14"/>
  <c r="H233" i="14" s="1"/>
  <c r="C232" i="14"/>
  <c r="H231" i="14"/>
  <c r="H230" i="14"/>
  <c r="H229" i="14"/>
  <c r="H227" i="14"/>
  <c r="H224" i="14"/>
  <c r="H223" i="14"/>
  <c r="H222" i="14"/>
  <c r="E213" i="14"/>
  <c r="E217" i="14" s="1"/>
  <c r="F206" i="14"/>
  <c r="F217" i="14" s="1"/>
  <c r="G217" i="14"/>
  <c r="D217" i="14"/>
  <c r="H216" i="14"/>
  <c r="H215" i="14"/>
  <c r="H214" i="14"/>
  <c r="C213" i="14"/>
  <c r="C212" i="14"/>
  <c r="H212" i="14" s="1"/>
  <c r="C211" i="14"/>
  <c r="H211" i="14" s="1"/>
  <c r="C210" i="14"/>
  <c r="H210" i="14" s="1"/>
  <c r="H209" i="14"/>
  <c r="H208" i="14"/>
  <c r="H207" i="14"/>
  <c r="C206" i="14"/>
  <c r="H205" i="14"/>
  <c r="H204" i="14"/>
  <c r="H203" i="14"/>
  <c r="H202" i="14"/>
  <c r="H201" i="14"/>
  <c r="H200" i="14"/>
  <c r="C191" i="14"/>
  <c r="H191" i="14" s="1"/>
  <c r="C190" i="14"/>
  <c r="F190" i="14"/>
  <c r="F195" i="14" s="1"/>
  <c r="C189" i="14"/>
  <c r="H189" i="14" s="1"/>
  <c r="C188" i="14"/>
  <c r="H188" i="14" s="1"/>
  <c r="C184" i="14"/>
  <c r="H184" i="14" s="1"/>
  <c r="H183" i="14"/>
  <c r="H158" i="14"/>
  <c r="G195" i="14"/>
  <c r="E195" i="14"/>
  <c r="D195" i="14"/>
  <c r="H194" i="14"/>
  <c r="H193" i="14"/>
  <c r="H192" i="14"/>
  <c r="H187" i="14"/>
  <c r="H186" i="14"/>
  <c r="H185" i="14"/>
  <c r="H182" i="14"/>
  <c r="H181" i="14"/>
  <c r="H180" i="14"/>
  <c r="H179" i="14"/>
  <c r="H178" i="14"/>
  <c r="D32" i="28"/>
  <c r="C302" i="14" s="1"/>
  <c r="H302" i="14" s="1"/>
  <c r="H154" i="14"/>
  <c r="H167" i="14"/>
  <c r="H155" i="14"/>
  <c r="J171" i="14"/>
  <c r="G171" i="14"/>
  <c r="F171" i="14"/>
  <c r="E171" i="14"/>
  <c r="D171" i="14"/>
  <c r="H170" i="14"/>
  <c r="H169" i="14"/>
  <c r="H168" i="14"/>
  <c r="H166" i="14"/>
  <c r="H165" i="14"/>
  <c r="H164" i="14"/>
  <c r="H163" i="14"/>
  <c r="H162" i="14"/>
  <c r="H161" i="14"/>
  <c r="H160" i="14"/>
  <c r="H159" i="14"/>
  <c r="H157" i="14"/>
  <c r="H156" i="14"/>
  <c r="J145" i="14"/>
  <c r="G145" i="14"/>
  <c r="F145" i="14"/>
  <c r="E145" i="14"/>
  <c r="D145" i="14"/>
  <c r="C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J120" i="14"/>
  <c r="I120" i="14"/>
  <c r="G120" i="14"/>
  <c r="F120" i="14"/>
  <c r="E120" i="14"/>
  <c r="D120" i="14"/>
  <c r="C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I131" i="14" s="1"/>
  <c r="H105" i="14"/>
  <c r="H104" i="14"/>
  <c r="H103" i="14"/>
  <c r="J98" i="14"/>
  <c r="I98" i="14"/>
  <c r="G98" i="14"/>
  <c r="F98" i="14"/>
  <c r="E98" i="14"/>
  <c r="D98" i="14"/>
  <c r="C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J77" i="14"/>
  <c r="G77" i="14"/>
  <c r="F77" i="14"/>
  <c r="E77" i="14"/>
  <c r="D77" i="14"/>
  <c r="C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J56" i="14"/>
  <c r="I56" i="14"/>
  <c r="G56" i="14"/>
  <c r="F56" i="14"/>
  <c r="D56" i="14"/>
  <c r="C56" i="14"/>
  <c r="H55" i="14"/>
  <c r="H54" i="14"/>
  <c r="H53" i="14"/>
  <c r="H52" i="14"/>
  <c r="H51" i="14"/>
  <c r="H50" i="14"/>
  <c r="H49" i="14"/>
  <c r="H48" i="14"/>
  <c r="H47" i="14"/>
  <c r="E46" i="14"/>
  <c r="E56" i="14" s="1"/>
  <c r="H45" i="14"/>
  <c r="H44" i="14"/>
  <c r="H43" i="14"/>
  <c r="H42" i="14"/>
  <c r="J37" i="14"/>
  <c r="I37" i="14"/>
  <c r="G37" i="14"/>
  <c r="F37" i="14"/>
  <c r="E37" i="14"/>
  <c r="D37" i="14"/>
  <c r="C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J18" i="14"/>
  <c r="I18" i="14"/>
  <c r="G18" i="14"/>
  <c r="F18" i="14"/>
  <c r="E18" i="14"/>
  <c r="D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G31" i="34"/>
  <c r="D31" i="34"/>
  <c r="F41" i="26"/>
  <c r="D41" i="26"/>
  <c r="C312" i="14" s="1"/>
  <c r="H312" i="14" s="1"/>
  <c r="W39" i="26"/>
  <c r="W38" i="26"/>
  <c r="W37" i="26"/>
  <c r="W36" i="26"/>
  <c r="W35" i="26"/>
  <c r="W34" i="26"/>
  <c r="W33" i="26"/>
  <c r="W32" i="26"/>
  <c r="W31" i="26"/>
  <c r="W30" i="26"/>
  <c r="W29" i="26"/>
  <c r="W27" i="26"/>
  <c r="W26" i="26"/>
  <c r="W25" i="26"/>
  <c r="W22" i="26"/>
  <c r="W21" i="26"/>
  <c r="W18" i="26"/>
  <c r="W17" i="26"/>
  <c r="W15" i="26"/>
  <c r="W14" i="26"/>
  <c r="W13" i="26"/>
  <c r="W12" i="26"/>
  <c r="W11" i="26"/>
  <c r="W10" i="26"/>
  <c r="AA30" i="21"/>
  <c r="AB30" i="21" s="1"/>
  <c r="AA27" i="21"/>
  <c r="AB27" i="21" s="1"/>
  <c r="W31" i="13"/>
  <c r="W5" i="13"/>
  <c r="X5" i="13" s="1"/>
  <c r="AO37" i="9"/>
  <c r="AQ37" i="9" s="1"/>
  <c r="AO36" i="9"/>
  <c r="AQ36" i="9" s="1"/>
  <c r="AO35" i="9"/>
  <c r="AO34" i="9"/>
  <c r="AQ34" i="9" s="1"/>
  <c r="AO33" i="9"/>
  <c r="AQ33" i="9"/>
  <c r="AO32" i="9"/>
  <c r="AQ32" i="9" s="1"/>
  <c r="U32" i="9"/>
  <c r="AO31" i="9"/>
  <c r="AQ31" i="9" s="1"/>
  <c r="AA31" i="9"/>
  <c r="AB31" i="9" s="1"/>
  <c r="AO30" i="9"/>
  <c r="AQ30" i="9" s="1"/>
  <c r="AA30" i="9"/>
  <c r="AB30" i="9" s="1"/>
  <c r="AO29" i="9"/>
  <c r="AQ29" i="9" s="1"/>
  <c r="AA29" i="9"/>
  <c r="AB29" i="9" s="1"/>
  <c r="AO28" i="9"/>
  <c r="AQ28" i="9" s="1"/>
  <c r="AA28" i="9"/>
  <c r="AB28" i="9" s="1"/>
  <c r="AO27" i="9"/>
  <c r="AQ27" i="9" s="1"/>
  <c r="AA27" i="9"/>
  <c r="AB27" i="9" s="1"/>
  <c r="AO26" i="9"/>
  <c r="AQ26" i="9" s="1"/>
  <c r="AA26" i="9"/>
  <c r="AB26" i="9" s="1"/>
  <c r="AO25" i="9"/>
  <c r="AP25" i="9" s="1"/>
  <c r="AA25" i="9"/>
  <c r="AO24" i="9"/>
  <c r="AP24" i="9" s="1"/>
  <c r="AA24" i="9"/>
  <c r="AP23" i="9"/>
  <c r="AA23" i="9"/>
  <c r="AO22" i="9"/>
  <c r="AP22" i="9" s="1"/>
  <c r="AA22" i="9"/>
  <c r="AO21" i="9"/>
  <c r="AP21" i="9" s="1"/>
  <c r="AA21" i="9"/>
  <c r="AD21" i="9" s="1"/>
  <c r="AO20" i="9"/>
  <c r="AP20" i="9" s="1"/>
  <c r="AA20" i="9"/>
  <c r="AO19" i="9"/>
  <c r="AP19" i="9" s="1"/>
  <c r="AA19" i="9"/>
  <c r="AD19" i="9" s="1"/>
  <c r="AO18" i="9"/>
  <c r="AP18" i="9" s="1"/>
  <c r="AA18" i="9"/>
  <c r="AO17" i="9"/>
  <c r="AQ17" i="9" s="1"/>
  <c r="AA17" i="9"/>
  <c r="AB17" i="9" s="1"/>
  <c r="AO16" i="9"/>
  <c r="AQ16" i="9" s="1"/>
  <c r="AA16" i="9"/>
  <c r="AB16" i="9" s="1"/>
  <c r="AC16" i="9" s="1"/>
  <c r="AO15" i="9"/>
  <c r="AQ15" i="9" s="1"/>
  <c r="AA15" i="9"/>
  <c r="AO14" i="9"/>
  <c r="AQ14" i="9" s="1"/>
  <c r="AA14" i="9"/>
  <c r="AO13" i="9"/>
  <c r="AQ13" i="9" s="1"/>
  <c r="AA13" i="9"/>
  <c r="AO12" i="9"/>
  <c r="AP12" i="9" s="1"/>
  <c r="AA12" i="9"/>
  <c r="AB12" i="9" s="1"/>
  <c r="AO11" i="9"/>
  <c r="AQ11" i="9" s="1"/>
  <c r="AR11" i="9" s="1"/>
  <c r="AA11" i="9"/>
  <c r="AB11" i="9" s="1"/>
  <c r="AO10" i="9"/>
  <c r="AQ10" i="9" s="1"/>
  <c r="AA10" i="9"/>
  <c r="AB10" i="9" s="1"/>
  <c r="AO9" i="9"/>
  <c r="AQ9" i="9" s="1"/>
  <c r="AR9" i="9" s="1"/>
  <c r="AA9" i="9"/>
  <c r="AB9" i="9" s="1"/>
  <c r="AC9" i="9" s="1"/>
  <c r="AO8" i="9"/>
  <c r="AP8" i="9" s="1"/>
  <c r="AA8" i="9"/>
  <c r="AB8" i="9" s="1"/>
  <c r="AO7" i="9"/>
  <c r="AQ7" i="9" s="1"/>
  <c r="AA7" i="9"/>
  <c r="AB7" i="9" s="1"/>
  <c r="AO6" i="9"/>
  <c r="AP6" i="9" s="1"/>
  <c r="AA6" i="9"/>
  <c r="AB6" i="9" s="1"/>
  <c r="AO5" i="9"/>
  <c r="AP5" i="9" s="1"/>
  <c r="AA5" i="9"/>
  <c r="AB5" i="9" s="1"/>
  <c r="AO4" i="9"/>
  <c r="AA4" i="9"/>
  <c r="Y31" i="32"/>
  <c r="Z31" i="32" s="1"/>
  <c r="Y29" i="32"/>
  <c r="Z29" i="32" s="1"/>
  <c r="Y28" i="32"/>
  <c r="Z28" i="32" s="1"/>
  <c r="Y26" i="32"/>
  <c r="Z26" i="32" s="1"/>
  <c r="Y16" i="32"/>
  <c r="Z16" i="32" s="1"/>
  <c r="Y12" i="32"/>
  <c r="Z12" i="32" s="1"/>
  <c r="Y11" i="32"/>
  <c r="Z11" i="32" s="1"/>
  <c r="Y10" i="32"/>
  <c r="Z10" i="32" s="1"/>
  <c r="Y9" i="32"/>
  <c r="Z9" i="32" s="1"/>
  <c r="Y8" i="32"/>
  <c r="Z8" i="32" s="1"/>
  <c r="Y7" i="32"/>
  <c r="Z7" i="32" s="1"/>
  <c r="Y6" i="32"/>
  <c r="Z6" i="32" s="1"/>
  <c r="Y5" i="32"/>
  <c r="Z5" i="32" s="1"/>
  <c r="AB11" i="37"/>
  <c r="AB9" i="37"/>
  <c r="AB8" i="37"/>
  <c r="AB7" i="37"/>
  <c r="AB5" i="37"/>
  <c r="Y31" i="31"/>
  <c r="Y29" i="31"/>
  <c r="Y26" i="31"/>
  <c r="Y8" i="31"/>
  <c r="Z8" i="31" s="1"/>
  <c r="AB10" i="30"/>
  <c r="AB8" i="30"/>
  <c r="AB6" i="30"/>
  <c r="AA29" i="29"/>
  <c r="AA26" i="29"/>
  <c r="AA17" i="29"/>
  <c r="AA12" i="29"/>
  <c r="AB12" i="29" s="1"/>
  <c r="AA11" i="29"/>
  <c r="AB11" i="29" s="1"/>
  <c r="AA10" i="29"/>
  <c r="AB10" i="29" s="1"/>
  <c r="AA8" i="29"/>
  <c r="AB8" i="29" s="1"/>
  <c r="AA7" i="29"/>
  <c r="AB7" i="29" s="1"/>
  <c r="AA6" i="29"/>
  <c r="AB6" i="29" s="1"/>
  <c r="K32" i="28"/>
  <c r="D33" i="36"/>
  <c r="C300" i="14" s="1"/>
  <c r="AA30" i="36"/>
  <c r="AA29" i="36"/>
  <c r="AA27" i="36"/>
  <c r="AA18" i="36"/>
  <c r="AA13" i="36"/>
  <c r="AB13" i="36" s="1"/>
  <c r="AA10" i="36"/>
  <c r="AA8" i="36"/>
  <c r="AA7" i="36"/>
  <c r="AB7" i="36" s="1"/>
  <c r="AA31" i="1"/>
  <c r="AA30" i="1"/>
  <c r="AA29" i="1"/>
  <c r="AA26" i="1"/>
  <c r="AA17" i="1"/>
  <c r="AA16" i="1"/>
  <c r="AB16" i="1" s="1"/>
  <c r="AA12" i="1"/>
  <c r="AB12" i="1" s="1"/>
  <c r="AA10" i="1"/>
  <c r="AB10" i="1" s="1"/>
  <c r="AA8" i="1"/>
  <c r="AB8" i="1" s="1"/>
  <c r="AA6" i="1"/>
  <c r="AB6" i="1" s="1"/>
  <c r="AB12" i="30"/>
  <c r="AB12" i="37"/>
  <c r="AB11" i="30"/>
  <c r="AB7" i="30"/>
  <c r="AA5" i="1"/>
  <c r="AB5" i="1" s="1"/>
  <c r="AA9" i="1"/>
  <c r="AB9" i="1" s="1"/>
  <c r="Y12" i="31"/>
  <c r="Z12" i="31" s="1"/>
  <c r="AB9" i="30"/>
  <c r="AA5" i="29"/>
  <c r="AA9" i="29"/>
  <c r="AB9" i="29" s="1"/>
  <c r="Y7" i="31"/>
  <c r="Z7" i="31" s="1"/>
  <c r="AB10" i="37"/>
  <c r="AB16" i="37"/>
  <c r="AA7" i="1"/>
  <c r="AB7" i="1" s="1"/>
  <c r="AA11" i="1"/>
  <c r="AB11" i="1" s="1"/>
  <c r="AA11" i="36"/>
  <c r="AB11" i="36" s="1"/>
  <c r="AA17" i="36"/>
  <c r="AQ35" i="9"/>
  <c r="AP10" i="9"/>
  <c r="V41" i="26"/>
  <c r="W41" i="26" s="1"/>
  <c r="AA6" i="21"/>
  <c r="AB6" i="21" s="1"/>
  <c r="AA8" i="21"/>
  <c r="AB8" i="21" s="1"/>
  <c r="AA10" i="21"/>
  <c r="AB10" i="21" s="1"/>
  <c r="W16" i="13"/>
  <c r="X16" i="13" s="1"/>
  <c r="W12" i="13"/>
  <c r="Y16" i="31"/>
  <c r="Z16" i="31" s="1"/>
  <c r="Y9" i="31"/>
  <c r="Z9" i="31" s="1"/>
  <c r="Y10" i="31"/>
  <c r="Z10" i="31" s="1"/>
  <c r="Y11" i="31"/>
  <c r="Z11" i="31" s="1"/>
  <c r="Y5" i="31"/>
  <c r="Z5" i="31" s="1"/>
  <c r="Y6" i="31"/>
  <c r="Z6" i="31" s="1"/>
  <c r="AA16" i="29"/>
  <c r="AB16" i="29" s="1"/>
  <c r="AA7" i="21"/>
  <c r="AA11" i="21"/>
  <c r="AA13" i="21"/>
  <c r="AB13" i="21" s="1"/>
  <c r="AA9" i="21"/>
  <c r="AB9" i="21" s="1"/>
  <c r="W7" i="13"/>
  <c r="X7" i="13" s="1"/>
  <c r="W9" i="13"/>
  <c r="X9" i="13" s="1"/>
  <c r="W8" i="13"/>
  <c r="X8" i="13" s="1"/>
  <c r="W6" i="13"/>
  <c r="X6" i="13" s="1"/>
  <c r="W10" i="13"/>
  <c r="X10" i="13" s="1"/>
  <c r="AA17" i="21"/>
  <c r="AB17" i="21" s="1"/>
  <c r="AA12" i="21"/>
  <c r="AC34" i="21"/>
  <c r="I14" i="39" l="1"/>
  <c r="I138" i="14"/>
  <c r="X32" i="32"/>
  <c r="L35" i="32"/>
  <c r="Z8" i="33"/>
  <c r="AA8" i="33" s="1"/>
  <c r="AB8" i="33" s="1"/>
  <c r="AB16" i="30"/>
  <c r="N34" i="29"/>
  <c r="Z32" i="29"/>
  <c r="Z34" i="29" s="1"/>
  <c r="K14" i="39"/>
  <c r="AB29" i="33"/>
  <c r="AB31" i="33"/>
  <c r="C432" i="14"/>
  <c r="H432" i="14" s="1"/>
  <c r="K432" i="14" s="1"/>
  <c r="H35" i="32"/>
  <c r="D449" i="14"/>
  <c r="H429" i="14"/>
  <c r="K429" i="14" s="1"/>
  <c r="H422" i="14"/>
  <c r="K422" i="14" s="1"/>
  <c r="F33" i="21"/>
  <c r="D32" i="32"/>
  <c r="C307" i="14" s="1"/>
  <c r="H307" i="14" s="1"/>
  <c r="D34" i="32"/>
  <c r="D35" i="32" s="1"/>
  <c r="F34" i="32"/>
  <c r="F35" i="32" s="1"/>
  <c r="F32" i="32"/>
  <c r="Y27" i="32"/>
  <c r="Z27" i="32" s="1"/>
  <c r="X33" i="31"/>
  <c r="X35" i="31" s="1"/>
  <c r="X32" i="31"/>
  <c r="Y32" i="31" s="1"/>
  <c r="AP17" i="9"/>
  <c r="AP9" i="9"/>
  <c r="AP11" i="9"/>
  <c r="AP15" i="9"/>
  <c r="AQ5" i="9"/>
  <c r="I449" i="14"/>
  <c r="K436" i="14"/>
  <c r="D33" i="33"/>
  <c r="E35" i="33" s="1"/>
  <c r="F35" i="33" s="1"/>
  <c r="AB5" i="33"/>
  <c r="D32" i="37"/>
  <c r="C306" i="14" s="1"/>
  <c r="H306" i="14" s="1"/>
  <c r="F32" i="30"/>
  <c r="AB5" i="30"/>
  <c r="AA32" i="30"/>
  <c r="W32" i="35"/>
  <c r="R19" i="40"/>
  <c r="W11" i="13"/>
  <c r="X11" i="13" s="1"/>
  <c r="C32" i="41"/>
  <c r="C35" i="41" s="1"/>
  <c r="AB28" i="36"/>
  <c r="V32" i="13"/>
  <c r="X12" i="13"/>
  <c r="AB17" i="36"/>
  <c r="AB10" i="36"/>
  <c r="AB9" i="36"/>
  <c r="AB8" i="36"/>
  <c r="AB11" i="21"/>
  <c r="AB12" i="21"/>
  <c r="AB7" i="21"/>
  <c r="AB5" i="29"/>
  <c r="AA32" i="29"/>
  <c r="AA33" i="36"/>
  <c r="D33" i="21"/>
  <c r="C311" i="14" s="1"/>
  <c r="H311" i="14" s="1"/>
  <c r="F32" i="13"/>
  <c r="D32" i="13"/>
  <c r="C310" i="14" s="1"/>
  <c r="H310" i="14" s="1"/>
  <c r="AP16" i="9"/>
  <c r="AP13" i="9"/>
  <c r="AR10" i="9"/>
  <c r="AC7" i="9"/>
  <c r="AC6" i="9"/>
  <c r="AQ12" i="9"/>
  <c r="AR12" i="9" s="1"/>
  <c r="AC11" i="9"/>
  <c r="AR7" i="9"/>
  <c r="AO38" i="9"/>
  <c r="AO39" i="9" s="1"/>
  <c r="AC5" i="9"/>
  <c r="AR16" i="9"/>
  <c r="AA32" i="9"/>
  <c r="AA33" i="9" s="1"/>
  <c r="AC10" i="9"/>
  <c r="AC8" i="9"/>
  <c r="AQ8" i="9"/>
  <c r="AR8" i="9" s="1"/>
  <c r="AC12" i="9"/>
  <c r="AP7" i="9"/>
  <c r="AQ6" i="9"/>
  <c r="AQ24" i="9"/>
  <c r="AP14" i="9"/>
  <c r="AP4" i="9"/>
  <c r="AB6" i="37"/>
  <c r="F32" i="37"/>
  <c r="F35" i="31"/>
  <c r="D32" i="30"/>
  <c r="C304" i="14" s="1"/>
  <c r="H304" i="14" s="1"/>
  <c r="D32" i="27"/>
  <c r="C301" i="14" s="1"/>
  <c r="H301" i="14" s="1"/>
  <c r="D32" i="29"/>
  <c r="C303" i="14" s="1"/>
  <c r="H303" i="14" s="1"/>
  <c r="V32" i="35"/>
  <c r="I136" i="14"/>
  <c r="I140" i="14"/>
  <c r="I142" i="14"/>
  <c r="I181" i="14"/>
  <c r="H206" i="14"/>
  <c r="I206" i="14" s="1"/>
  <c r="I204" i="14"/>
  <c r="I154" i="14"/>
  <c r="I157" i="14"/>
  <c r="I193" i="14"/>
  <c r="I283" i="14"/>
  <c r="H300" i="14"/>
  <c r="I161" i="14"/>
  <c r="I186" i="14"/>
  <c r="I166" i="14"/>
  <c r="I246" i="14"/>
  <c r="H46" i="14"/>
  <c r="H56" i="14" s="1"/>
  <c r="I225" i="14"/>
  <c r="I192" i="14"/>
  <c r="I178" i="14"/>
  <c r="I168" i="14"/>
  <c r="F262" i="14"/>
  <c r="I250" i="14"/>
  <c r="I271" i="14"/>
  <c r="I284" i="14"/>
  <c r="E262" i="14"/>
  <c r="C38" i="14"/>
  <c r="I185" i="14"/>
  <c r="N333" i="14"/>
  <c r="H232" i="14"/>
  <c r="I232" i="14" s="1"/>
  <c r="N335" i="14"/>
  <c r="I191" i="14"/>
  <c r="I382" i="14"/>
  <c r="I383" i="14" s="1"/>
  <c r="I209" i="14"/>
  <c r="I159" i="14"/>
  <c r="I207" i="14"/>
  <c r="F319" i="14"/>
  <c r="I169" i="14"/>
  <c r="I230" i="14"/>
  <c r="I270" i="14"/>
  <c r="I269" i="14"/>
  <c r="I237" i="14"/>
  <c r="I254" i="14"/>
  <c r="I200" i="14"/>
  <c r="I179" i="14"/>
  <c r="H256" i="14"/>
  <c r="K256" i="14" s="1"/>
  <c r="I208" i="14"/>
  <c r="I261" i="14"/>
  <c r="K369" i="14"/>
  <c r="I248" i="14"/>
  <c r="I275" i="14"/>
  <c r="K334" i="14"/>
  <c r="I183" i="14"/>
  <c r="I144" i="14"/>
  <c r="I214" i="14"/>
  <c r="I163" i="14"/>
  <c r="I229" i="14"/>
  <c r="I160" i="14"/>
  <c r="I253" i="14"/>
  <c r="I281" i="14"/>
  <c r="K327" i="14"/>
  <c r="I165" i="14"/>
  <c r="I137" i="14"/>
  <c r="I259" i="14"/>
  <c r="I203" i="14"/>
  <c r="I167" i="14"/>
  <c r="H249" i="14"/>
  <c r="I276" i="14"/>
  <c r="I223" i="14"/>
  <c r="I129" i="14"/>
  <c r="I202" i="14"/>
  <c r="H213" i="14"/>
  <c r="J215" i="14" s="1"/>
  <c r="I236" i="14"/>
  <c r="I273" i="14"/>
  <c r="H374" i="14"/>
  <c r="K374" i="14" s="1"/>
  <c r="I211" i="14"/>
  <c r="I233" i="14"/>
  <c r="I164" i="14"/>
  <c r="H120" i="14"/>
  <c r="I162" i="14"/>
  <c r="I141" i="14"/>
  <c r="I231" i="14"/>
  <c r="I282" i="14"/>
  <c r="H18" i="14"/>
  <c r="I201" i="14"/>
  <c r="I215" i="14"/>
  <c r="I227" i="14"/>
  <c r="I340" i="14"/>
  <c r="K340" i="14" s="1"/>
  <c r="I139" i="14"/>
  <c r="I258" i="14"/>
  <c r="H328" i="14"/>
  <c r="I132" i="14"/>
  <c r="I143" i="14"/>
  <c r="I155" i="14"/>
  <c r="I156" i="14"/>
  <c r="I170" i="14"/>
  <c r="E239" i="14"/>
  <c r="C239" i="14"/>
  <c r="C263" i="14" s="1"/>
  <c r="I280" i="14"/>
  <c r="F353" i="14"/>
  <c r="I346" i="14"/>
  <c r="K346" i="14" s="1"/>
  <c r="I133" i="14"/>
  <c r="I277" i="14"/>
  <c r="H338" i="14"/>
  <c r="K338" i="14" s="1"/>
  <c r="I222" i="14"/>
  <c r="I187" i="14"/>
  <c r="I134" i="14"/>
  <c r="H145" i="14"/>
  <c r="H77" i="14"/>
  <c r="H98" i="14"/>
  <c r="I135" i="14"/>
  <c r="I158" i="14"/>
  <c r="I238" i="14"/>
  <c r="G353" i="14"/>
  <c r="H373" i="14"/>
  <c r="K373" i="14" s="1"/>
  <c r="H37" i="14"/>
  <c r="C217" i="14"/>
  <c r="G319" i="14"/>
  <c r="H341" i="14"/>
  <c r="K341" i="14" s="1"/>
  <c r="K345" i="14"/>
  <c r="K344" i="14"/>
  <c r="K343" i="14"/>
  <c r="K279" i="14"/>
  <c r="I210" i="14"/>
  <c r="I278" i="14"/>
  <c r="I234" i="14"/>
  <c r="I226" i="14"/>
  <c r="H285" i="14"/>
  <c r="I184" i="14"/>
  <c r="I205" i="14"/>
  <c r="H228" i="14"/>
  <c r="I257" i="14"/>
  <c r="H190" i="14"/>
  <c r="I190" i="14" s="1"/>
  <c r="H336" i="14"/>
  <c r="K336" i="14" s="1"/>
  <c r="G413" i="14"/>
  <c r="I128" i="14"/>
  <c r="I180" i="14"/>
  <c r="I182" i="14"/>
  <c r="I252" i="14"/>
  <c r="I194" i="14"/>
  <c r="I189" i="14"/>
  <c r="I130" i="14"/>
  <c r="I224" i="14"/>
  <c r="C285" i="14"/>
  <c r="C195" i="14"/>
  <c r="J237" i="14"/>
  <c r="I260" i="14"/>
  <c r="C383" i="14"/>
  <c r="I188" i="14"/>
  <c r="I245" i="14"/>
  <c r="I274" i="14"/>
  <c r="I268" i="14"/>
  <c r="I414" i="14"/>
  <c r="H171" i="14"/>
  <c r="I216" i="14"/>
  <c r="H363" i="14"/>
  <c r="K363" i="14" s="1"/>
  <c r="F382" i="14"/>
  <c r="G382" i="14"/>
  <c r="F413" i="14"/>
  <c r="K362" i="14"/>
  <c r="K331" i="14"/>
  <c r="N332" i="14"/>
  <c r="K332" i="14"/>
  <c r="K337" i="14"/>
  <c r="K330" i="14"/>
  <c r="K329" i="14"/>
  <c r="H339" i="14"/>
  <c r="Z33" i="33" l="1"/>
  <c r="AA33" i="33"/>
  <c r="C449" i="14"/>
  <c r="H449" i="14"/>
  <c r="C308" i="14"/>
  <c r="H308" i="14" s="1"/>
  <c r="D34" i="29"/>
  <c r="AQ38" i="9"/>
  <c r="AR38" i="9" s="1"/>
  <c r="AR6" i="9"/>
  <c r="C305" i="14"/>
  <c r="H305" i="14" s="1"/>
  <c r="D35" i="31"/>
  <c r="I228" i="14"/>
  <c r="I255" i="14"/>
  <c r="I235" i="14"/>
  <c r="I239" i="14" s="1"/>
  <c r="H217" i="14"/>
  <c r="I279" i="14"/>
  <c r="I71" i="14"/>
  <c r="I77" i="14" s="1"/>
  <c r="I353" i="14"/>
  <c r="H353" i="14"/>
  <c r="C218" i="14"/>
  <c r="H38" i="14"/>
  <c r="I213" i="14"/>
  <c r="H239" i="14"/>
  <c r="H262" i="14"/>
  <c r="I256" i="14"/>
  <c r="K328" i="14"/>
  <c r="I251" i="14"/>
  <c r="C240" i="14"/>
  <c r="I249" i="14"/>
  <c r="I272" i="14"/>
  <c r="H195" i="14"/>
  <c r="I145" i="14"/>
  <c r="H173" i="14"/>
  <c r="H413" i="14"/>
  <c r="H382" i="14"/>
  <c r="I212" i="14"/>
  <c r="K339" i="14"/>
  <c r="D353" i="14" s="1"/>
  <c r="H218" i="14" l="1"/>
  <c r="I262" i="14"/>
  <c r="C309" i="14"/>
  <c r="H309" i="14" s="1"/>
  <c r="H319" i="14" s="1"/>
  <c r="C319" i="14" l="1"/>
  <c r="I319" i="14" s="1"/>
</calcChain>
</file>

<file path=xl/sharedStrings.xml><?xml version="1.0" encoding="utf-8"?>
<sst xmlns="http://schemas.openxmlformats.org/spreadsheetml/2006/main" count="3811" uniqueCount="254">
  <si>
    <t xml:space="preserve">26/06/2025 Opening Date </t>
  </si>
  <si>
    <t>Si</t>
  </si>
  <si>
    <t xml:space="preserve"> Project Name</t>
  </si>
  <si>
    <t xml:space="preserve">Matarials Name </t>
  </si>
  <si>
    <t>Opening QTY</t>
  </si>
  <si>
    <t xml:space="preserve">Purchase In </t>
  </si>
  <si>
    <t xml:space="preserve">Transfer IN </t>
  </si>
  <si>
    <t xml:space="preserve">From Project </t>
  </si>
  <si>
    <t>Transfer Out</t>
  </si>
  <si>
    <t xml:space="preserve">To Project </t>
  </si>
  <si>
    <t xml:space="preserve">Blance </t>
  </si>
  <si>
    <t xml:space="preserve">Nos </t>
  </si>
  <si>
    <t xml:space="preserve">Whight Kg </t>
  </si>
  <si>
    <t>SFBL-PB-01</t>
  </si>
  <si>
    <t>Steel shutter - various size</t>
  </si>
  <si>
    <t xml:space="preserve">Steel props </t>
  </si>
  <si>
    <t xml:space="preserve">Scaffolding long </t>
  </si>
  <si>
    <t>Scaffoding short</t>
  </si>
  <si>
    <t xml:space="preserve">Cross bar </t>
  </si>
  <si>
    <t>Joint pin</t>
  </si>
  <si>
    <t>Adjustable  Base Jack</t>
  </si>
  <si>
    <t xml:space="preserve"> </t>
  </si>
  <si>
    <t>U head</t>
  </si>
  <si>
    <t xml:space="preserve">Base plate </t>
  </si>
  <si>
    <t xml:space="preserve">  </t>
  </si>
  <si>
    <t>MS angle 1.5"*1.5"</t>
  </si>
  <si>
    <t>MS angle 2"*2"</t>
  </si>
  <si>
    <t>I-joist</t>
  </si>
  <si>
    <t>Ms.sheet</t>
  </si>
  <si>
    <t xml:space="preserve">Shutter Grill </t>
  </si>
  <si>
    <t>Hollow box 1.5" x 1.5"</t>
  </si>
  <si>
    <t>Hollow box 3" x 3"</t>
  </si>
  <si>
    <t>MS pipe 1.5"</t>
  </si>
  <si>
    <t>MS pipe 1.75”</t>
  </si>
  <si>
    <t>MS pipe 2"</t>
  </si>
  <si>
    <t>MS pipe 2.5"</t>
  </si>
  <si>
    <t>Thread Rod</t>
  </si>
  <si>
    <t>Nut, Bolt &amp; Washer</t>
  </si>
  <si>
    <t>T bolt (Nos)</t>
  </si>
  <si>
    <t>Trun bolt (Nos)</t>
  </si>
  <si>
    <t>C- clamp (Nos)</t>
  </si>
  <si>
    <t>Pikon (Nos)</t>
  </si>
  <si>
    <t>Swivel clamp (Nos)</t>
  </si>
  <si>
    <t>Tin (Nos)</t>
  </si>
  <si>
    <t>No KG</t>
  </si>
  <si>
    <t xml:space="preserve">SFBL-Main Gate </t>
  </si>
  <si>
    <t xml:space="preserve">SFBL-Admin Building </t>
  </si>
  <si>
    <t>Problem</t>
  </si>
  <si>
    <t>SFBL-STP</t>
  </si>
  <si>
    <t>SFBL-ETP</t>
  </si>
  <si>
    <t>SETL-PB</t>
  </si>
  <si>
    <t>CCKL</t>
  </si>
  <si>
    <t>STL-PB</t>
  </si>
  <si>
    <t>STL-AB</t>
  </si>
  <si>
    <t>STL-UB</t>
  </si>
  <si>
    <t>HFL</t>
  </si>
  <si>
    <t xml:space="preserve">Transfer In Qty </t>
  </si>
  <si>
    <t>Transfer Out Qty</t>
  </si>
  <si>
    <t>Prb Qut</t>
  </si>
  <si>
    <t>Nos</t>
  </si>
  <si>
    <t>Whight Kg</t>
  </si>
  <si>
    <t>RCL</t>
  </si>
  <si>
    <t>Ring Clamp (Nos)</t>
  </si>
  <si>
    <t>Safety truss</t>
  </si>
  <si>
    <t>Cross Bar Pin</t>
  </si>
  <si>
    <t>Plain U-Head</t>
  </si>
  <si>
    <t>Roofing Screw</t>
  </si>
  <si>
    <t>Royel Bolt</t>
  </si>
  <si>
    <t>Asuliya WH</t>
  </si>
  <si>
    <t>Mawna-WH</t>
  </si>
  <si>
    <t>SHL-B</t>
  </si>
  <si>
    <t>MS Stiffener</t>
  </si>
  <si>
    <t>Hollow box 1" x 1.5"</t>
  </si>
  <si>
    <t xml:space="preserve">MS pipe 1” </t>
  </si>
  <si>
    <t xml:space="preserve">Unit </t>
  </si>
  <si>
    <t>SL.</t>
  </si>
  <si>
    <t>Projects</t>
  </si>
  <si>
    <t>Opening Blances</t>
  </si>
  <si>
    <t xml:space="preserve">Nos Unit </t>
  </si>
  <si>
    <t>Purchase In Qty</t>
  </si>
  <si>
    <t>Transfer In Qty</t>
  </si>
  <si>
    <t>Present Blances</t>
  </si>
  <si>
    <t>Shoptah Out In Qty</t>
  </si>
  <si>
    <t xml:space="preserve">W. Sales </t>
  </si>
  <si>
    <t>Remarks</t>
  </si>
  <si>
    <t>PB1</t>
  </si>
  <si>
    <t>WH</t>
  </si>
  <si>
    <t>WH-M</t>
  </si>
  <si>
    <t>H-F</t>
  </si>
  <si>
    <t xml:space="preserve">Comfit </t>
  </si>
  <si>
    <t xml:space="preserve">FAZILAT </t>
  </si>
  <si>
    <t xml:space="preserve">Juliet Villa </t>
  </si>
  <si>
    <t>Total</t>
  </si>
  <si>
    <t>15/5/2025</t>
  </si>
  <si>
    <t>WH-01</t>
  </si>
  <si>
    <t>WH-02</t>
  </si>
  <si>
    <t>22/5/2025</t>
  </si>
  <si>
    <t>16/6/2025</t>
  </si>
  <si>
    <t>Nos Unit</t>
  </si>
  <si>
    <t>W. Sales</t>
  </si>
  <si>
    <t>SFBL-MG</t>
  </si>
  <si>
    <t>SFBL-AD</t>
  </si>
  <si>
    <t>26/06/2025</t>
  </si>
  <si>
    <t>STL-AD</t>
  </si>
  <si>
    <t>17/7/2025</t>
  </si>
  <si>
    <t xml:space="preserve">Problem </t>
  </si>
  <si>
    <t>24/7/2025</t>
  </si>
  <si>
    <t>31/7/2025</t>
  </si>
  <si>
    <t xml:space="preserve">23/10/2025 Opening Date </t>
  </si>
  <si>
    <t>Opening nos</t>
  </si>
  <si>
    <t>Totall</t>
  </si>
  <si>
    <t>Opening NOS</t>
  </si>
  <si>
    <t xml:space="preserve">07/08/2025 Opening Date </t>
  </si>
  <si>
    <t>Rubel</t>
  </si>
  <si>
    <t>Ashulia wh-01</t>
  </si>
  <si>
    <t>Mawna WH-2</t>
  </si>
  <si>
    <t>23/10/2025</t>
  </si>
  <si>
    <t>Chairman House</t>
  </si>
  <si>
    <t>Chayaneer</t>
  </si>
  <si>
    <t>Polaris</t>
  </si>
  <si>
    <t>Aukotex</t>
  </si>
  <si>
    <t>30/10/2025</t>
  </si>
  <si>
    <t>Opening kg</t>
  </si>
  <si>
    <t>Opening  Date:23/10/25</t>
  </si>
  <si>
    <t>Opening  Date:30/10/25</t>
  </si>
  <si>
    <t>Transfer In</t>
  </si>
  <si>
    <t xml:space="preserve">Project stock report </t>
  </si>
  <si>
    <t>ok</t>
  </si>
  <si>
    <t>4216kg bar be all stock theke</t>
  </si>
  <si>
    <t>Hollow box 1 x 1.5"</t>
  </si>
  <si>
    <t>Site Stock Reporit Date:30/10/25</t>
  </si>
  <si>
    <t>00/10/2025</t>
  </si>
  <si>
    <t>Acme Bleesimg</t>
  </si>
  <si>
    <t>Acme Fazilat</t>
  </si>
  <si>
    <t xml:space="preserve"> Nasrin Kabir Garden</t>
  </si>
  <si>
    <t>Acne Nasrin Villa</t>
  </si>
  <si>
    <t>Acme Dhrubotara</t>
  </si>
  <si>
    <t>Acme Krittika</t>
  </si>
  <si>
    <t>Acme Juliet Villa</t>
  </si>
  <si>
    <t>Opening - Blances</t>
  </si>
  <si>
    <t>SFBL-GH</t>
  </si>
  <si>
    <t>ACME Technologies</t>
  </si>
  <si>
    <t>Ope - Blances</t>
  </si>
  <si>
    <t>All Totall</t>
  </si>
  <si>
    <t>Acme Construction</t>
  </si>
  <si>
    <t>Opening  Date:20/11/25</t>
  </si>
  <si>
    <t>Opening  Date:Old AB+GB</t>
  </si>
  <si>
    <t xml:space="preserve">20/11/2025 Opening Date </t>
  </si>
  <si>
    <t>Transfer out</t>
  </si>
  <si>
    <t>Opening Nos</t>
  </si>
  <si>
    <t>All Week</t>
  </si>
  <si>
    <t>Blance---</t>
  </si>
  <si>
    <t xml:space="preserve">  Site Stock Report Blance</t>
  </si>
  <si>
    <t>Stock Cheek</t>
  </si>
  <si>
    <t>MS pipe 3"</t>
  </si>
  <si>
    <t>TOTAL</t>
  </si>
  <si>
    <t>Total stock Report</t>
  </si>
  <si>
    <t>Total Stock Report</t>
  </si>
  <si>
    <t>Site Stock Reporit Date:20/11/25</t>
  </si>
  <si>
    <t xml:space="preserve"> Project All</t>
  </si>
  <si>
    <t>2025 Sales</t>
  </si>
  <si>
    <t>Opening  Date:25/12/25</t>
  </si>
  <si>
    <t>Plane U-head</t>
  </si>
  <si>
    <t>Project close.</t>
  </si>
  <si>
    <t>Opening  Date:01/01/26</t>
  </si>
  <si>
    <t>Site Stock Reporit Date:01/01/26</t>
  </si>
  <si>
    <t>Site Stock Reporit Date:25/12/25</t>
  </si>
  <si>
    <t>Site Stock Reporit Date:23/10/25</t>
  </si>
  <si>
    <t>25/12/2025</t>
  </si>
  <si>
    <t>Mawna warehouse Salvase 2025</t>
  </si>
  <si>
    <t>Opening  Mawna</t>
  </si>
  <si>
    <t>Opening  Date:15/01/26</t>
  </si>
  <si>
    <t>Ashulia warehouse Salvase 2023</t>
  </si>
  <si>
    <t>Ashulia warehouse Salvase 2024</t>
  </si>
  <si>
    <t>Opening  Ashulia</t>
  </si>
  <si>
    <t xml:space="preserve"> All Construction</t>
  </si>
  <si>
    <t xml:space="preserve">Opening  Date:15/01/26 </t>
  </si>
  <si>
    <t>Acme Technologies</t>
  </si>
  <si>
    <t>Acme Nasrin Villa</t>
  </si>
  <si>
    <t>16308</t>
  </si>
  <si>
    <t>170</t>
  </si>
  <si>
    <t>255</t>
  </si>
  <si>
    <t>Acme Polaris</t>
  </si>
  <si>
    <t>7364</t>
  </si>
  <si>
    <t>Acme Bleesing</t>
  </si>
  <si>
    <t>6803</t>
  </si>
  <si>
    <t>153</t>
  </si>
  <si>
    <t>1028</t>
  </si>
  <si>
    <t>Nasrin Kabir Gareden</t>
  </si>
  <si>
    <t>544</t>
  </si>
  <si>
    <t>9533</t>
  </si>
  <si>
    <t>187</t>
  </si>
  <si>
    <t>4249</t>
  </si>
  <si>
    <t>46594</t>
  </si>
  <si>
    <t>Ashulia warehouse Salvase 2025</t>
  </si>
  <si>
    <t>Totall=2025</t>
  </si>
  <si>
    <t>Totall=2023</t>
  </si>
  <si>
    <t>Totall=2024</t>
  </si>
  <si>
    <t xml:space="preserve">25/01/2026 Opening Date </t>
  </si>
  <si>
    <t>Acme Polarish</t>
  </si>
  <si>
    <t xml:space="preserve">18/01/2026 Opening Date </t>
  </si>
  <si>
    <t xml:space="preserve">Juliyet Villa </t>
  </si>
  <si>
    <t>Transfer IN</t>
  </si>
  <si>
    <t>Acme Chayaneer</t>
  </si>
  <si>
    <t>Nasrin Kabir Garden</t>
  </si>
  <si>
    <t xml:space="preserve">Mawna </t>
  </si>
  <si>
    <t>Site Stock Reporit Date:15/01/26</t>
  </si>
  <si>
    <t>Ashulia</t>
  </si>
  <si>
    <t>HFL-AEPZ</t>
  </si>
  <si>
    <t>SFBL-AB</t>
  </si>
  <si>
    <t>SFBL-PB</t>
  </si>
  <si>
    <t>Reamarks</t>
  </si>
  <si>
    <t>Stock Report Construction/Warehouse</t>
  </si>
  <si>
    <t>Acme Thchnologies</t>
  </si>
  <si>
    <t>SFBL-PB-1</t>
  </si>
  <si>
    <t>SFBL-WH</t>
  </si>
  <si>
    <t>SETL-BB</t>
  </si>
  <si>
    <t>SETL-GB</t>
  </si>
  <si>
    <t>RPL-EB-2</t>
  </si>
  <si>
    <t>EGL</t>
  </si>
  <si>
    <t>Nasreen Vill</t>
  </si>
  <si>
    <t xml:space="preserve"> Kobir Garden</t>
  </si>
  <si>
    <t>Suraiya</t>
  </si>
  <si>
    <t>Kirttika</t>
  </si>
  <si>
    <t>Juliet Villa</t>
  </si>
  <si>
    <t>Nasrin Kabir</t>
  </si>
  <si>
    <t>Nasrin villa</t>
  </si>
  <si>
    <t>Dhrubotara</t>
  </si>
  <si>
    <t>Bleesing</t>
  </si>
  <si>
    <t>Polarish</t>
  </si>
  <si>
    <t>Fazilat</t>
  </si>
  <si>
    <t xml:space="preserve"> - </t>
  </si>
  <si>
    <t>Opening  Date:29/01/26</t>
  </si>
  <si>
    <t>19.01.26 Stl-Ub</t>
  </si>
  <si>
    <t>0k</t>
  </si>
  <si>
    <t>50kg problem</t>
  </si>
  <si>
    <t>Taka</t>
  </si>
  <si>
    <t>Ashulia warehouse Salvase 2026</t>
  </si>
  <si>
    <t>Site Stock Reporit Date:29/01/26</t>
  </si>
  <si>
    <t>3337.8 vull sujon</t>
  </si>
  <si>
    <t>Opening  Date:05/02/26</t>
  </si>
  <si>
    <t>Site Stock Reporit Date:05/02/26</t>
  </si>
  <si>
    <t>Mawna warehouse Salvase 2026</t>
  </si>
  <si>
    <t>Opening  Date:12/02/26</t>
  </si>
  <si>
    <t>Site Stock Reporit Date:12/02/26</t>
  </si>
  <si>
    <t>salvase</t>
  </si>
  <si>
    <t>ok Close</t>
  </si>
  <si>
    <t>Opening  Date:26/02/26</t>
  </si>
  <si>
    <t>no</t>
  </si>
  <si>
    <t>260=up-378</t>
  </si>
  <si>
    <t>Site Stock Reporit Date:26/02/26</t>
  </si>
  <si>
    <t>Week wise total</t>
  </si>
  <si>
    <t>Project wise weekly total</t>
  </si>
  <si>
    <t>Product wise weekly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</si>
</sst>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.0_);_(* \(#,##0.0\);_(* &quot;-&quot;??_);_(@_)"/>
    <numFmt numFmtId="167" formatCode="0.000000000000"/>
  </numFmts>
  <fonts count="7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Helvetica Neue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sz val="14"/>
      <color theme="1" tint="4.9989318521683403E-2"/>
      <name val="Times New Roman"/>
      <family val="1"/>
    </font>
    <font>
      <sz val="16"/>
      <color theme="1" tint="4.9989318521683403E-2"/>
      <name val="Times New Roman"/>
      <family val="1"/>
    </font>
    <font>
      <b/>
      <sz val="20"/>
      <color theme="1" tint="4.9989318521683403E-2"/>
      <name val="Times New Roman"/>
      <family val="1"/>
    </font>
    <font>
      <b/>
      <sz val="15"/>
      <color theme="1" tint="4.9989318521683403E-2"/>
      <name val="Times New Roman"/>
      <family val="1"/>
    </font>
    <font>
      <b/>
      <sz val="20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Times New Roman"/>
      <family val="1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theme="1" tint="4.9989318521683403E-2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5"/>
      <color rgb="FFFF0000"/>
      <name val="Times New Roman"/>
      <family val="1"/>
    </font>
    <font>
      <sz val="16"/>
      <color theme="1"/>
      <name val="Times New Roman"/>
      <family val="1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22"/>
      <color theme="1" tint="4.9989318521683403E-2"/>
      <name val="Times New Roman"/>
      <family val="1"/>
    </font>
    <font>
      <b/>
      <sz val="22"/>
      <color rgb="FFFF0000"/>
      <name val="Times New Roman"/>
      <family val="1"/>
    </font>
    <font>
      <sz val="22"/>
      <color theme="1" tint="4.9989318521683403E-2"/>
      <name val="Times New Roman"/>
      <family val="1"/>
    </font>
    <font>
      <sz val="22"/>
      <color theme="1" tint="4.9989318521683403E-2"/>
      <name val="Calibri"/>
      <family val="2"/>
      <scheme val="minor"/>
    </font>
    <font>
      <sz val="22"/>
      <color rgb="FFFF0000"/>
      <name val="Times New Roman"/>
      <family val="1"/>
    </font>
    <font>
      <sz val="22"/>
      <color rgb="FFFF0000"/>
      <name val="Calibri"/>
      <family val="2"/>
      <scheme val="minor"/>
    </font>
    <font>
      <sz val="22"/>
      <color theme="1"/>
      <name val="Times New Roman"/>
      <family val="1"/>
    </font>
    <font>
      <b/>
      <sz val="22"/>
      <color rgb="FFFF0000"/>
      <name val="Calibri"/>
      <family val="2"/>
      <scheme val="minor"/>
    </font>
    <font>
      <b/>
      <sz val="20"/>
      <color rgb="FFFF0000"/>
      <name val="Times New Roman"/>
      <family val="1"/>
    </font>
    <font>
      <sz val="20"/>
      <color theme="1" tint="4.9989318521683403E-2"/>
      <name val="Times New Roman"/>
      <family val="1"/>
    </font>
    <font>
      <sz val="20"/>
      <color theme="1" tint="4.9989318521683403E-2"/>
      <name val="Calibri"/>
      <family val="2"/>
      <scheme val="minor"/>
    </font>
    <font>
      <sz val="20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indexed="8"/>
      <name val="Calibri"/>
      <family val="2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</font>
    <font>
      <sz val="36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9" fillId="0" borderId="0" applyNumberFormat="0" applyFill="0" applyBorder="0" applyProtection="0"/>
    <xf numFmtId="0" fontId="30" fillId="0" borderId="0" applyNumberFormat="0" applyFill="0" applyBorder="0" applyProtection="0">
      <alignment vertical="top" wrapText="1"/>
    </xf>
  </cellStyleXfs>
  <cellXfs count="318">
    <xf numFmtId="0" fontId="0" fillId="0" borderId="0" xfId="0"/>
    <xf numFmtId="0" fontId="17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165" fontId="18" fillId="2" borderId="5" xfId="0" applyNumberFormat="1" applyFont="1" applyFill="1" applyBorder="1" applyAlignment="1">
      <alignment horizontal="center" vertical="center"/>
    </xf>
    <xf numFmtId="1" fontId="18" fillId="2" borderId="5" xfId="0" applyNumberFormat="1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/>
    </xf>
    <xf numFmtId="1" fontId="18" fillId="2" borderId="5" xfId="0" applyNumberFormat="1" applyFont="1" applyFill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2" borderId="5" xfId="0" applyFont="1" applyFill="1" applyBorder="1" applyAlignment="1">
      <alignment horizontal="center" vertical="center"/>
    </xf>
    <xf numFmtId="165" fontId="20" fillId="2" borderId="5" xfId="0" applyNumberFormat="1" applyFont="1" applyFill="1" applyBorder="1" applyAlignment="1">
      <alignment horizontal="center" vertical="center"/>
    </xf>
    <xf numFmtId="1" fontId="20" fillId="2" borderId="5" xfId="0" applyNumberFormat="1" applyFont="1" applyFill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65" fontId="0" fillId="0" borderId="0" xfId="0" applyNumberFormat="1"/>
    <xf numFmtId="0" fontId="19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23" fillId="0" borderId="5" xfId="0" applyNumberFormat="1" applyFont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49" fontId="23" fillId="5" borderId="5" xfId="0" applyNumberFormat="1" applyFont="1" applyFill="1" applyBorder="1" applyAlignment="1">
      <alignment horizontal="left" vertical="center"/>
    </xf>
    <xf numFmtId="49" fontId="23" fillId="2" borderId="5" xfId="0" applyNumberFormat="1" applyFont="1" applyFill="1" applyBorder="1" applyAlignment="1">
      <alignment horizontal="left" vertical="center"/>
    </xf>
    <xf numFmtId="43" fontId="24" fillId="0" borderId="5" xfId="0" applyNumberFormat="1" applyFont="1" applyBorder="1" applyAlignment="1">
      <alignment horizontal="center" vertical="center"/>
    </xf>
    <xf numFmtId="43" fontId="24" fillId="0" borderId="5" xfId="0" applyNumberFormat="1" applyFont="1" applyBorder="1" applyAlignment="1">
      <alignment vertical="top"/>
    </xf>
    <xf numFmtId="0" fontId="0" fillId="0" borderId="5" xfId="0" applyBorder="1"/>
    <xf numFmtId="0" fontId="0" fillId="4" borderId="5" xfId="0" applyFill="1" applyBorder="1"/>
    <xf numFmtId="43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8" fontId="0" fillId="0" borderId="5" xfId="0" applyNumberFormat="1" applyBorder="1" applyAlignment="1">
      <alignment horizontal="center"/>
    </xf>
    <xf numFmtId="0" fontId="2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5" xfId="0" applyFill="1" applyBorder="1" applyAlignment="1">
      <alignment horizontal="center"/>
    </xf>
    <xf numFmtId="49" fontId="26" fillId="2" borderId="5" xfId="0" applyNumberFormat="1" applyFont="1" applyFill="1" applyBorder="1" applyAlignment="1">
      <alignment horizontal="left" vertical="center"/>
    </xf>
    <xf numFmtId="43" fontId="24" fillId="0" borderId="5" xfId="0" applyNumberFormat="1" applyFont="1" applyBorder="1" applyAlignment="1">
      <alignment horizontal="center"/>
    </xf>
    <xf numFmtId="43" fontId="0" fillId="0" borderId="5" xfId="0" applyNumberFormat="1" applyBorder="1"/>
    <xf numFmtId="0" fontId="0" fillId="3" borderId="5" xfId="0" applyFill="1" applyBorder="1" applyAlignment="1">
      <alignment horizontal="center" vertical="center"/>
    </xf>
    <xf numFmtId="43" fontId="0" fillId="2" borderId="5" xfId="0" applyNumberFormat="1" applyFill="1" applyBorder="1" applyAlignment="1">
      <alignment horizontal="center" vertical="center"/>
    </xf>
    <xf numFmtId="43" fontId="0" fillId="0" borderId="0" xfId="0" applyNumberFormat="1"/>
    <xf numFmtId="43" fontId="0" fillId="3" borderId="5" xfId="0" applyNumberForma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7" fillId="0" borderId="0" xfId="0" applyFont="1"/>
    <xf numFmtId="43" fontId="0" fillId="0" borderId="0" xfId="0" applyNumberFormat="1" applyAlignment="1">
      <alignment horizontal="center"/>
    </xf>
    <xf numFmtId="166" fontId="0" fillId="2" borderId="5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8" xfId="0" applyBorder="1"/>
    <xf numFmtId="165" fontId="0" fillId="0" borderId="5" xfId="0" applyNumberFormat="1" applyBorder="1" applyAlignment="1">
      <alignment horizontal="center" vertical="center"/>
    </xf>
    <xf numFmtId="0" fontId="0" fillId="4" borderId="0" xfId="0" applyFill="1"/>
    <xf numFmtId="0" fontId="0" fillId="0" borderId="9" xfId="0" applyBorder="1"/>
    <xf numFmtId="0" fontId="0" fillId="0" borderId="10" xfId="0" applyBorder="1"/>
    <xf numFmtId="2" fontId="0" fillId="0" borderId="0" xfId="0" applyNumberFormat="1"/>
    <xf numFmtId="0" fontId="28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1" fontId="33" fillId="2" borderId="5" xfId="0" applyNumberFormat="1" applyFont="1" applyFill="1" applyBorder="1" applyAlignment="1">
      <alignment horizontal="center" vertical="center"/>
    </xf>
    <xf numFmtId="165" fontId="33" fillId="2" borderId="5" xfId="0" applyNumberFormat="1" applyFont="1" applyFill="1" applyBorder="1" applyAlignment="1">
      <alignment horizontal="center" vertical="center"/>
    </xf>
    <xf numFmtId="165" fontId="33" fillId="2" borderId="5" xfId="0" applyNumberFormat="1" applyFont="1" applyFill="1" applyBorder="1" applyAlignment="1">
      <alignment horizontal="center"/>
    </xf>
    <xf numFmtId="1" fontId="33" fillId="2" borderId="5" xfId="0" applyNumberFormat="1" applyFont="1" applyFill="1" applyBorder="1" applyAlignment="1">
      <alignment horizontal="center"/>
    </xf>
    <xf numFmtId="2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horizontal="center"/>
    </xf>
    <xf numFmtId="0" fontId="34" fillId="2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0" borderId="0" xfId="0" applyFont="1"/>
    <xf numFmtId="1" fontId="0" fillId="2" borderId="5" xfId="0" applyNumberFormat="1" applyFill="1" applyBorder="1" applyAlignment="1">
      <alignment horizontal="center" vertical="center"/>
    </xf>
    <xf numFmtId="0" fontId="0" fillId="2" borderId="0" xfId="0" applyFill="1"/>
    <xf numFmtId="0" fontId="31" fillId="2" borderId="5" xfId="0" applyFont="1" applyFill="1" applyBorder="1" applyAlignment="1">
      <alignment horizontal="center" vertical="center"/>
    </xf>
    <xf numFmtId="0" fontId="35" fillId="2" borderId="5" xfId="0" applyFont="1" applyFill="1" applyBorder="1" applyAlignment="1">
      <alignment horizontal="center" vertical="center"/>
    </xf>
    <xf numFmtId="1" fontId="36" fillId="2" borderId="5" xfId="0" applyNumberFormat="1" applyFont="1" applyFill="1" applyBorder="1" applyAlignment="1">
      <alignment horizontal="center" vertical="center"/>
    </xf>
    <xf numFmtId="165" fontId="36" fillId="2" borderId="5" xfId="0" applyNumberFormat="1" applyFont="1" applyFill="1" applyBorder="1" applyAlignment="1">
      <alignment horizontal="center" vertical="center"/>
    </xf>
    <xf numFmtId="1" fontId="35" fillId="2" borderId="5" xfId="0" applyNumberFormat="1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vertical="center"/>
    </xf>
    <xf numFmtId="165" fontId="39" fillId="2" borderId="5" xfId="0" applyNumberFormat="1" applyFont="1" applyFill="1" applyBorder="1" applyAlignment="1">
      <alignment horizontal="center" vertical="center"/>
    </xf>
    <xf numFmtId="1" fontId="39" fillId="2" borderId="5" xfId="0" applyNumberFormat="1" applyFont="1" applyFill="1" applyBorder="1" applyAlignment="1">
      <alignment horizontal="center" vertical="center"/>
    </xf>
    <xf numFmtId="1" fontId="40" fillId="2" borderId="5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4" fillId="0" borderId="0" xfId="0" applyFont="1"/>
    <xf numFmtId="2" fontId="36" fillId="2" borderId="5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vertical="center"/>
    </xf>
    <xf numFmtId="165" fontId="39" fillId="2" borderId="0" xfId="0" applyNumberFormat="1" applyFont="1" applyFill="1" applyAlignment="1">
      <alignment horizontal="center" vertical="center"/>
    </xf>
    <xf numFmtId="1" fontId="39" fillId="2" borderId="0" xfId="0" applyNumberFormat="1" applyFont="1" applyFill="1" applyAlignment="1">
      <alignment horizontal="center" vertical="center"/>
    </xf>
    <xf numFmtId="1" fontId="33" fillId="2" borderId="0" xfId="0" applyNumberFormat="1" applyFont="1" applyFill="1" applyAlignment="1">
      <alignment horizontal="center" vertical="center"/>
    </xf>
    <xf numFmtId="1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65" fontId="35" fillId="2" borderId="5" xfId="0" applyNumberFormat="1" applyFont="1" applyFill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3" fontId="24" fillId="0" borderId="5" xfId="0" applyNumberFormat="1" applyFont="1" applyBorder="1" applyAlignment="1">
      <alignment horizontal="center" vertical="top"/>
    </xf>
    <xf numFmtId="0" fontId="41" fillId="0" borderId="5" xfId="0" applyFont="1" applyBorder="1" applyAlignment="1">
      <alignment horizontal="center"/>
    </xf>
    <xf numFmtId="0" fontId="41" fillId="0" borderId="5" xfId="0" applyFont="1" applyBorder="1"/>
    <xf numFmtId="43" fontId="31" fillId="0" borderId="5" xfId="0" applyNumberFormat="1" applyFont="1" applyBorder="1" applyAlignment="1">
      <alignment horizontal="center" vertical="center"/>
    </xf>
    <xf numFmtId="0" fontId="31" fillId="0" borderId="5" xfId="0" applyFont="1" applyBorder="1" applyAlignment="1">
      <alignment vertical="center"/>
    </xf>
    <xf numFmtId="43" fontId="31" fillId="2" borderId="5" xfId="0" applyNumberFormat="1" applyFont="1" applyFill="1" applyBorder="1" applyAlignment="1">
      <alignment vertical="center"/>
    </xf>
    <xf numFmtId="43" fontId="31" fillId="0" borderId="5" xfId="0" applyNumberFormat="1" applyFont="1" applyBorder="1" applyAlignment="1">
      <alignment vertical="center"/>
    </xf>
    <xf numFmtId="0" fontId="21" fillId="3" borderId="5" xfId="0" applyFont="1" applyFill="1" applyBorder="1" applyAlignment="1">
      <alignment horizontal="center" vertical="center"/>
    </xf>
    <xf numFmtId="165" fontId="42" fillId="2" borderId="5" xfId="0" applyNumberFormat="1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43" fontId="24" fillId="0" borderId="5" xfId="0" applyNumberFormat="1" applyFont="1" applyBorder="1" applyAlignment="1">
      <alignment horizontal="left" vertical="top"/>
    </xf>
    <xf numFmtId="167" fontId="36" fillId="2" borderId="5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21" fillId="3" borderId="9" xfId="0" applyFont="1" applyFill="1" applyBorder="1" applyAlignment="1">
      <alignment horizontal="center" vertical="center"/>
    </xf>
    <xf numFmtId="0" fontId="43" fillId="0" borderId="0" xfId="0" applyFont="1"/>
    <xf numFmtId="43" fontId="43" fillId="0" borderId="0" xfId="0" applyNumberFormat="1" applyFont="1"/>
    <xf numFmtId="43" fontId="21" fillId="0" borderId="0" xfId="0" applyNumberFormat="1" applyFont="1"/>
    <xf numFmtId="1" fontId="21" fillId="0" borderId="0" xfId="0" applyNumberFormat="1" applyFont="1"/>
    <xf numFmtId="43" fontId="44" fillId="0" borderId="0" xfId="0" applyNumberFormat="1" applyFont="1"/>
    <xf numFmtId="1" fontId="33" fillId="2" borderId="5" xfId="0" applyNumberFormat="1" applyFont="1" applyFill="1" applyBorder="1" applyAlignment="1">
      <alignment vertical="center"/>
    </xf>
    <xf numFmtId="43" fontId="45" fillId="2" borderId="5" xfId="0" applyNumberFormat="1" applyFont="1" applyFill="1" applyBorder="1" applyAlignment="1">
      <alignment vertical="center"/>
    </xf>
    <xf numFmtId="43" fontId="36" fillId="2" borderId="5" xfId="0" applyNumberFormat="1" applyFont="1" applyFill="1" applyBorder="1" applyAlignment="1">
      <alignment horizontal="center" vertical="center"/>
    </xf>
    <xf numFmtId="43" fontId="45" fillId="4" borderId="5" xfId="0" applyNumberFormat="1" applyFont="1" applyFill="1" applyBorder="1" applyAlignment="1">
      <alignment vertical="center"/>
    </xf>
    <xf numFmtId="0" fontId="38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vertical="center"/>
    </xf>
    <xf numFmtId="43" fontId="31" fillId="4" borderId="5" xfId="0" applyNumberFormat="1" applyFont="1" applyFill="1" applyBorder="1" applyAlignment="1">
      <alignment vertical="center"/>
    </xf>
    <xf numFmtId="1" fontId="33" fillId="4" borderId="5" xfId="0" applyNumberFormat="1" applyFont="1" applyFill="1" applyBorder="1" applyAlignment="1">
      <alignment horizontal="center" vertical="center"/>
    </xf>
    <xf numFmtId="165" fontId="33" fillId="4" borderId="5" xfId="0" applyNumberFormat="1" applyFont="1" applyFill="1" applyBorder="1" applyAlignment="1">
      <alignment horizontal="center" vertical="center"/>
    </xf>
    <xf numFmtId="1" fontId="36" fillId="4" borderId="5" xfId="0" applyNumberFormat="1" applyFont="1" applyFill="1" applyBorder="1" applyAlignment="1">
      <alignment horizontal="center" vertical="center"/>
    </xf>
    <xf numFmtId="165" fontId="36" fillId="4" borderId="5" xfId="0" applyNumberFormat="1" applyFont="1" applyFill="1" applyBorder="1" applyAlignment="1">
      <alignment horizontal="center" vertical="center"/>
    </xf>
    <xf numFmtId="165" fontId="42" fillId="4" borderId="5" xfId="0" applyNumberFormat="1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2" fontId="36" fillId="4" borderId="5" xfId="0" applyNumberFormat="1" applyFont="1" applyFill="1" applyBorder="1" applyAlignment="1">
      <alignment horizontal="center" vertical="center"/>
    </xf>
    <xf numFmtId="167" fontId="36" fillId="4" borderId="5" xfId="0" applyNumberFormat="1" applyFont="1" applyFill="1" applyBorder="1" applyAlignment="1">
      <alignment horizontal="center" vertical="center"/>
    </xf>
    <xf numFmtId="1" fontId="33" fillId="4" borderId="5" xfId="0" applyNumberFormat="1" applyFont="1" applyFill="1" applyBorder="1" applyAlignment="1">
      <alignment vertical="center"/>
    </xf>
    <xf numFmtId="43" fontId="31" fillId="4" borderId="5" xfId="0" applyNumberFormat="1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vertical="center"/>
    </xf>
    <xf numFmtId="165" fontId="39" fillId="4" borderId="5" xfId="0" applyNumberFormat="1" applyFont="1" applyFill="1" applyBorder="1" applyAlignment="1">
      <alignment horizontal="center" vertical="center"/>
    </xf>
    <xf numFmtId="1" fontId="39" fillId="4" borderId="5" xfId="0" applyNumberFormat="1" applyFont="1" applyFill="1" applyBorder="1" applyAlignment="1">
      <alignment horizontal="center" vertical="center"/>
    </xf>
    <xf numFmtId="1" fontId="46" fillId="4" borderId="5" xfId="0" applyNumberFormat="1" applyFont="1" applyFill="1" applyBorder="1" applyAlignment="1">
      <alignment horizontal="center" vertical="center"/>
    </xf>
    <xf numFmtId="1" fontId="35" fillId="4" borderId="5" xfId="0" applyNumberFormat="1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42" fillId="7" borderId="5" xfId="0" applyFont="1" applyFill="1" applyBorder="1" applyAlignment="1">
      <alignment horizontal="center" vertical="center"/>
    </xf>
    <xf numFmtId="0" fontId="42" fillId="7" borderId="5" xfId="0" applyFont="1" applyFill="1" applyBorder="1" applyAlignment="1">
      <alignment vertical="center"/>
    </xf>
    <xf numFmtId="43" fontId="45" fillId="7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horizontal="center" vertical="center"/>
    </xf>
    <xf numFmtId="165" fontId="45" fillId="7" borderId="5" xfId="0" applyNumberFormat="1" applyFont="1" applyFill="1" applyBorder="1" applyAlignment="1">
      <alignment horizontal="center" vertical="center"/>
    </xf>
    <xf numFmtId="1" fontId="42" fillId="7" borderId="5" xfId="0" applyNumberFormat="1" applyFont="1" applyFill="1" applyBorder="1" applyAlignment="1">
      <alignment horizontal="center" vertical="center"/>
    </xf>
    <xf numFmtId="0" fontId="47" fillId="7" borderId="0" xfId="0" applyFont="1" applyFill="1"/>
    <xf numFmtId="1" fontId="47" fillId="2" borderId="0" xfId="0" applyNumberFormat="1" applyFont="1" applyFill="1"/>
    <xf numFmtId="0" fontId="47" fillId="2" borderId="0" xfId="0" applyFont="1" applyFill="1"/>
    <xf numFmtId="0" fontId="48" fillId="2" borderId="5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vertical="center"/>
    </xf>
    <xf numFmtId="1" fontId="45" fillId="2" borderId="5" xfId="0" applyNumberFormat="1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vertical="center"/>
    </xf>
    <xf numFmtId="43" fontId="21" fillId="2" borderId="5" xfId="0" applyNumberFormat="1" applyFont="1" applyFill="1" applyBorder="1" applyAlignment="1">
      <alignment vertical="center"/>
    </xf>
    <xf numFmtId="0" fontId="49" fillId="2" borderId="5" xfId="0" applyFont="1" applyFill="1" applyBorder="1" applyAlignment="1">
      <alignment horizontal="center" vertical="center"/>
    </xf>
    <xf numFmtId="1" fontId="33" fillId="2" borderId="5" xfId="0" applyNumberFormat="1" applyFont="1" applyFill="1" applyBorder="1" applyAlignment="1">
      <alignment horizontal="right" vertical="center"/>
    </xf>
    <xf numFmtId="0" fontId="9" fillId="4" borderId="5" xfId="0" applyFont="1" applyFill="1" applyBorder="1"/>
    <xf numFmtId="0" fontId="45" fillId="3" borderId="8" xfId="0" applyFont="1" applyFill="1" applyBorder="1" applyAlignment="1">
      <alignment horizontal="center" vertical="top" wrapText="1"/>
    </xf>
    <xf numFmtId="0" fontId="50" fillId="0" borderId="5" xfId="0" applyFont="1" applyBorder="1" applyAlignment="1">
      <alignment horizontal="center" vertical="center"/>
    </xf>
    <xf numFmtId="43" fontId="51" fillId="0" borderId="5" xfId="0" applyNumberFormat="1" applyFont="1" applyBorder="1" applyAlignment="1">
      <alignment horizontal="center" vertical="center"/>
    </xf>
    <xf numFmtId="43" fontId="51" fillId="0" borderId="5" xfId="0" applyNumberFormat="1" applyFont="1" applyBorder="1" applyAlignment="1">
      <alignment vertical="top"/>
    </xf>
    <xf numFmtId="43" fontId="41" fillId="0" borderId="5" xfId="0" applyNumberFormat="1" applyFont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43" fontId="24" fillId="8" borderId="5" xfId="0" applyNumberFormat="1" applyFont="1" applyFill="1" applyBorder="1" applyAlignment="1">
      <alignment horizontal="center" vertical="center"/>
    </xf>
    <xf numFmtId="43" fontId="24" fillId="8" borderId="5" xfId="0" applyNumberFormat="1" applyFont="1" applyFill="1" applyBorder="1" applyAlignment="1">
      <alignment vertical="top"/>
    </xf>
    <xf numFmtId="43" fontId="0" fillId="8" borderId="5" xfId="0" applyNumberForma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23" fillId="0" borderId="13" xfId="0" applyNumberFormat="1" applyFont="1" applyBorder="1" applyAlignment="1">
      <alignment horizontal="left" vertical="center"/>
    </xf>
    <xf numFmtId="0" fontId="41" fillId="2" borderId="5" xfId="0" applyFont="1" applyFill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/>
    </xf>
    <xf numFmtId="0" fontId="22" fillId="2" borderId="5" xfId="0" applyFont="1" applyFill="1" applyBorder="1" applyAlignment="1">
      <alignment horizontal="center" vertical="center"/>
    </xf>
    <xf numFmtId="0" fontId="41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/>
    <xf numFmtId="0" fontId="7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52" fillId="0" borderId="5" xfId="0" applyNumberFormat="1" applyFont="1" applyBorder="1" applyAlignment="1">
      <alignment horizontal="center" vertical="center"/>
    </xf>
    <xf numFmtId="0" fontId="11" fillId="0" borderId="5" xfId="0" applyFont="1" applyBorder="1"/>
    <xf numFmtId="2" fontId="0" fillId="0" borderId="5" xfId="0" applyNumberFormat="1" applyBorder="1" applyAlignment="1">
      <alignment horizontal="center" vertical="center"/>
    </xf>
    <xf numFmtId="43" fontId="53" fillId="0" borderId="5" xfId="0" applyNumberFormat="1" applyFont="1" applyBorder="1"/>
    <xf numFmtId="0" fontId="6" fillId="0" borderId="5" xfId="0" applyFont="1" applyBorder="1"/>
    <xf numFmtId="43" fontId="52" fillId="0" borderId="5" xfId="0" applyNumberFormat="1" applyFont="1" applyBorder="1" applyAlignment="1">
      <alignment horizontal="center" vertical="center"/>
    </xf>
    <xf numFmtId="0" fontId="52" fillId="4" borderId="5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2" fillId="0" borderId="5" xfId="0" applyFont="1" applyBorder="1"/>
    <xf numFmtId="0" fontId="10" fillId="0" borderId="5" xfId="0" applyFont="1" applyBorder="1"/>
    <xf numFmtId="0" fontId="52" fillId="2" borderId="5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0" fontId="56" fillId="2" borderId="5" xfId="0" applyFont="1" applyFill="1" applyBorder="1" applyAlignment="1">
      <alignment horizontal="center" vertical="center"/>
    </xf>
    <xf numFmtId="0" fontId="56" fillId="2" borderId="5" xfId="0" applyFont="1" applyFill="1" applyBorder="1" applyAlignment="1">
      <alignment vertical="center"/>
    </xf>
    <xf numFmtId="43" fontId="43" fillId="2" borderId="5" xfId="0" applyNumberFormat="1" applyFont="1" applyFill="1" applyBorder="1" applyAlignment="1">
      <alignment vertical="center"/>
    </xf>
    <xf numFmtId="1" fontId="57" fillId="2" borderId="5" xfId="0" applyNumberFormat="1" applyFont="1" applyFill="1" applyBorder="1" applyAlignment="1">
      <alignment horizontal="center" vertical="center"/>
    </xf>
    <xf numFmtId="165" fontId="57" fillId="2" borderId="5" xfId="0" applyNumberFormat="1" applyFont="1" applyFill="1" applyBorder="1" applyAlignment="1">
      <alignment horizontal="center" vertical="center"/>
    </xf>
    <xf numFmtId="1" fontId="56" fillId="2" borderId="5" xfId="0" applyNumberFormat="1" applyFont="1" applyFill="1" applyBorder="1" applyAlignment="1">
      <alignment horizontal="center" vertical="center"/>
    </xf>
    <xf numFmtId="165" fontId="56" fillId="2" borderId="5" xfId="0" applyNumberFormat="1" applyFont="1" applyFill="1" applyBorder="1" applyAlignment="1">
      <alignment horizontal="center" vertical="center"/>
    </xf>
    <xf numFmtId="43" fontId="56" fillId="2" borderId="5" xfId="0" applyNumberFormat="1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vertical="center"/>
    </xf>
    <xf numFmtId="43" fontId="59" fillId="2" borderId="5" xfId="0" applyNumberFormat="1" applyFont="1" applyFill="1" applyBorder="1" applyAlignment="1">
      <alignment vertical="center"/>
    </xf>
    <xf numFmtId="0" fontId="58" fillId="2" borderId="5" xfId="0" applyFont="1" applyFill="1" applyBorder="1" applyAlignment="1">
      <alignment horizontal="center" vertical="center"/>
    </xf>
    <xf numFmtId="1" fontId="59" fillId="2" borderId="5" xfId="0" applyNumberFormat="1" applyFont="1" applyFill="1" applyBorder="1" applyAlignment="1">
      <alignment horizontal="center" vertical="center"/>
    </xf>
    <xf numFmtId="0" fontId="60" fillId="2" borderId="5" xfId="0" applyFont="1" applyFill="1" applyBorder="1" applyAlignment="1">
      <alignment horizontal="center" vertical="center"/>
    </xf>
    <xf numFmtId="0" fontId="60" fillId="2" borderId="5" xfId="0" applyFont="1" applyFill="1" applyBorder="1" applyAlignment="1">
      <alignment vertical="center"/>
    </xf>
    <xf numFmtId="167" fontId="56" fillId="2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vertical="center"/>
    </xf>
    <xf numFmtId="0" fontId="56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vertical="center"/>
    </xf>
    <xf numFmtId="43" fontId="56" fillId="2" borderId="0" xfId="0" applyNumberFormat="1" applyFont="1" applyFill="1" applyAlignment="1">
      <alignment horizontal="center" vertical="center"/>
    </xf>
    <xf numFmtId="1" fontId="57" fillId="2" borderId="0" xfId="0" applyNumberFormat="1" applyFont="1" applyFill="1" applyAlignment="1">
      <alignment horizontal="center" vertical="center"/>
    </xf>
    <xf numFmtId="165" fontId="57" fillId="2" borderId="0" xfId="0" applyNumberFormat="1" applyFont="1" applyFill="1" applyAlignment="1">
      <alignment horizontal="center" vertical="center"/>
    </xf>
    <xf numFmtId="1" fontId="56" fillId="2" borderId="0" xfId="0" applyNumberFormat="1" applyFont="1" applyFill="1" applyAlignment="1">
      <alignment horizontal="center" vertical="center"/>
    </xf>
    <xf numFmtId="165" fontId="56" fillId="2" borderId="0" xfId="0" applyNumberFormat="1" applyFont="1" applyFill="1" applyAlignment="1">
      <alignment horizontal="center" vertical="center"/>
    </xf>
    <xf numFmtId="0" fontId="61" fillId="4" borderId="5" xfId="0" applyFont="1" applyFill="1" applyBorder="1"/>
    <xf numFmtId="43" fontId="61" fillId="4" borderId="5" xfId="0" applyNumberFormat="1" applyFont="1" applyFill="1" applyBorder="1"/>
    <xf numFmtId="0" fontId="43" fillId="0" borderId="5" xfId="0" applyFont="1" applyBorder="1"/>
    <xf numFmtId="0" fontId="61" fillId="4" borderId="12" xfId="0" applyFont="1" applyFill="1" applyBorder="1"/>
    <xf numFmtId="0" fontId="44" fillId="0" borderId="0" xfId="0" applyFont="1"/>
    <xf numFmtId="0" fontId="62" fillId="2" borderId="5" xfId="0" applyFont="1" applyFill="1" applyBorder="1" applyAlignment="1">
      <alignment horizontal="center" vertical="center"/>
    </xf>
    <xf numFmtId="0" fontId="63" fillId="2" borderId="5" xfId="0" applyFont="1" applyFill="1" applyBorder="1" applyAlignment="1">
      <alignment horizontal="center" vertical="center"/>
    </xf>
    <xf numFmtId="0" fontId="63" fillId="2" borderId="5" xfId="0" applyFont="1" applyFill="1" applyBorder="1" applyAlignment="1">
      <alignment vertical="center"/>
    </xf>
    <xf numFmtId="43" fontId="44" fillId="2" borderId="5" xfId="0" applyNumberFormat="1" applyFont="1" applyFill="1" applyBorder="1" applyAlignment="1">
      <alignment vertical="center"/>
    </xf>
    <xf numFmtId="1" fontId="64" fillId="2" borderId="5" xfId="0" applyNumberFormat="1" applyFont="1" applyFill="1" applyBorder="1" applyAlignment="1">
      <alignment horizontal="center" vertical="center"/>
    </xf>
    <xf numFmtId="165" fontId="64" fillId="2" borderId="5" xfId="0" applyNumberFormat="1" applyFont="1" applyFill="1" applyBorder="1" applyAlignment="1">
      <alignment horizontal="center" vertical="center"/>
    </xf>
    <xf numFmtId="1" fontId="63" fillId="2" borderId="5" xfId="0" applyNumberFormat="1" applyFont="1" applyFill="1" applyBorder="1" applyAlignment="1">
      <alignment horizontal="center" vertical="center"/>
    </xf>
    <xf numFmtId="165" fontId="63" fillId="2" borderId="5" xfId="0" applyNumberFormat="1" applyFont="1" applyFill="1" applyBorder="1" applyAlignment="1">
      <alignment horizontal="center" vertical="center"/>
    </xf>
    <xf numFmtId="1" fontId="64" fillId="2" borderId="5" xfId="0" applyNumberFormat="1" applyFont="1" applyFill="1" applyBorder="1" applyAlignment="1">
      <alignment vertical="center"/>
    </xf>
    <xf numFmtId="0" fontId="65" fillId="2" borderId="5" xfId="0" applyFont="1" applyFill="1" applyBorder="1" applyAlignment="1">
      <alignment vertical="center"/>
    </xf>
    <xf numFmtId="0" fontId="44" fillId="0" borderId="5" xfId="0" applyFont="1" applyBorder="1"/>
    <xf numFmtId="165" fontId="44" fillId="0" borderId="5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165" fontId="42" fillId="7" borderId="5" xfId="0" applyNumberFormat="1" applyFont="1" applyFill="1" applyBorder="1" applyAlignment="1">
      <alignment horizontal="center" vertical="center"/>
    </xf>
    <xf numFmtId="1" fontId="43" fillId="0" borderId="5" xfId="0" applyNumberFormat="1" applyFont="1" applyBorder="1"/>
    <xf numFmtId="0" fontId="67" fillId="0" borderId="5" xfId="0" applyFont="1" applyBorder="1" applyAlignment="1">
      <alignment horizontal="center" vertical="center"/>
    </xf>
    <xf numFmtId="43" fontId="41" fillId="0" borderId="0" xfId="0" applyNumberFormat="1" applyFont="1"/>
    <xf numFmtId="0" fontId="5" fillId="0" borderId="0" xfId="0" applyFont="1"/>
    <xf numFmtId="0" fontId="0" fillId="0" borderId="13" xfId="0" applyBorder="1" applyAlignment="1">
      <alignment horizontal="center"/>
    </xf>
    <xf numFmtId="0" fontId="41" fillId="0" borderId="0" xfId="0" applyFont="1"/>
    <xf numFmtId="0" fontId="4" fillId="0" borderId="5" xfId="0" applyFont="1" applyBorder="1" applyAlignment="1">
      <alignment horizontal="center" vertical="center"/>
    </xf>
    <xf numFmtId="43" fontId="4" fillId="0" borderId="5" xfId="0" applyNumberFormat="1" applyFont="1" applyBorder="1"/>
    <xf numFmtId="0" fontId="21" fillId="3" borderId="9" xfId="0" applyFont="1" applyFill="1" applyBorder="1" applyAlignment="1">
      <alignment horizontal="center" vertical="top" wrapText="1"/>
    </xf>
    <xf numFmtId="0" fontId="21" fillId="3" borderId="8" xfId="0" applyFont="1" applyFill="1" applyBorder="1" applyAlignment="1">
      <alignment horizontal="center" vertical="top" wrapText="1"/>
    </xf>
    <xf numFmtId="0" fontId="21" fillId="3" borderId="10" xfId="0" applyFont="1" applyFill="1" applyBorder="1" applyAlignment="1">
      <alignment horizontal="center" vertical="top" wrapText="1"/>
    </xf>
    <xf numFmtId="0" fontId="21" fillId="0" borderId="0" xfId="0" applyFont="1"/>
    <xf numFmtId="0" fontId="21" fillId="0" borderId="5" xfId="0" applyFont="1" applyBorder="1" applyAlignment="1">
      <alignment horizontal="center" vertical="center"/>
    </xf>
    <xf numFmtId="49" fontId="68" fillId="0" borderId="5" xfId="0" applyNumberFormat="1" applyFont="1" applyBorder="1" applyAlignment="1">
      <alignment horizontal="left" vertical="center"/>
    </xf>
    <xf numFmtId="43" fontId="32" fillId="0" borderId="5" xfId="0" applyNumberFormat="1" applyFont="1" applyBorder="1" applyAlignment="1">
      <alignment horizontal="center" vertical="center"/>
    </xf>
    <xf numFmtId="49" fontId="68" fillId="2" borderId="5" xfId="0" applyNumberFormat="1" applyFont="1" applyFill="1" applyBorder="1" applyAlignment="1">
      <alignment horizontal="left" vertical="center"/>
    </xf>
    <xf numFmtId="49" fontId="68" fillId="5" borderId="5" xfId="0" applyNumberFormat="1" applyFont="1" applyFill="1" applyBorder="1" applyAlignment="1">
      <alignment horizontal="left" vertical="center"/>
    </xf>
    <xf numFmtId="0" fontId="45" fillId="0" borderId="5" xfId="0" applyFont="1" applyBorder="1" applyAlignment="1">
      <alignment horizontal="center" vertical="center"/>
    </xf>
    <xf numFmtId="49" fontId="68" fillId="0" borderId="5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43" fontId="21" fillId="0" borderId="5" xfId="0" applyNumberFormat="1" applyFont="1" applyBorder="1"/>
    <xf numFmtId="0" fontId="21" fillId="0" borderId="13" xfId="0" applyFont="1" applyBorder="1" applyAlignment="1">
      <alignment horizontal="center" vertical="center"/>
    </xf>
    <xf numFmtId="49" fontId="32" fillId="0" borderId="0" xfId="0" applyNumberFormat="1" applyFont="1" applyAlignment="1">
      <alignment horizontal="center"/>
    </xf>
    <xf numFmtId="0" fontId="32" fillId="0" borderId="0" xfId="0" applyFont="1"/>
    <xf numFmtId="49" fontId="69" fillId="0" borderId="0" xfId="0" applyNumberFormat="1" applyFont="1"/>
    <xf numFmtId="49" fontId="21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49" fontId="71" fillId="2" borderId="5" xfId="0" applyNumberFormat="1" applyFont="1" applyFill="1" applyBorder="1" applyAlignment="1">
      <alignment horizontal="left" vertical="center"/>
    </xf>
    <xf numFmtId="0" fontId="21" fillId="0" borderId="5" xfId="0" applyFont="1" applyBorder="1"/>
    <xf numFmtId="0" fontId="72" fillId="2" borderId="5" xfId="0" applyFont="1" applyFill="1" applyBorder="1" applyAlignment="1">
      <alignment horizontal="center" vertical="center"/>
    </xf>
    <xf numFmtId="43" fontId="0" fillId="0" borderId="5" xfId="0" applyNumberFormat="1" applyBorder="1" applyAlignment="1">
      <alignment vertical="center"/>
    </xf>
    <xf numFmtId="0" fontId="34" fillId="0" borderId="5" xfId="0" applyFont="1" applyBorder="1" applyAlignment="1">
      <alignment horizontal="center" vertical="center"/>
    </xf>
    <xf numFmtId="4" fontId="52" fillId="0" borderId="5" xfId="0" applyNumberFormat="1" applyFont="1" applyBorder="1" applyAlignment="1">
      <alignment horizontal="center"/>
    </xf>
    <xf numFmtId="0" fontId="52" fillId="0" borderId="5" xfId="0" applyFont="1" applyBorder="1" applyAlignment="1">
      <alignment horizontal="center" wrapText="1"/>
    </xf>
    <xf numFmtId="0" fontId="52" fillId="0" borderId="0" xfId="0" applyFont="1"/>
    <xf numFmtId="0" fontId="52" fillId="0" borderId="0" xfId="0" applyFont="1" applyAlignment="1">
      <alignment horizontal="center" vertical="center"/>
    </xf>
    <xf numFmtId="0" fontId="52" fillId="0" borderId="13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41" fillId="4" borderId="5" xfId="0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/>
    <xf numFmtId="43" fontId="29" fillId="0" borderId="5" xfId="0" applyNumberFormat="1" applyFont="1" applyBorder="1" applyAlignment="1">
      <alignment vertical="top"/>
    </xf>
    <xf numFmtId="43" fontId="2" fillId="0" borderId="5" xfId="0" applyNumberFormat="1" applyFont="1" applyBorder="1" applyAlignment="1">
      <alignment vertical="center"/>
    </xf>
    <xf numFmtId="0" fontId="41" fillId="4" borderId="5" xfId="0" applyFont="1" applyFill="1" applyBorder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top" wrapText="1"/>
    </xf>
    <xf numFmtId="0" fontId="21" fillId="3" borderId="8" xfId="0" applyFont="1" applyFill="1" applyBorder="1" applyAlignment="1">
      <alignment horizontal="center" vertical="top" wrapText="1"/>
    </xf>
    <xf numFmtId="0" fontId="45" fillId="3" borderId="9" xfId="0" applyFont="1" applyFill="1" applyBorder="1" applyAlignment="1">
      <alignment horizontal="center" vertical="top" wrapText="1"/>
    </xf>
    <xf numFmtId="0" fontId="45" fillId="3" borderId="8" xfId="0" applyFont="1" applyFill="1" applyBorder="1" applyAlignment="1">
      <alignment horizontal="center" vertical="top" wrapText="1"/>
    </xf>
    <xf numFmtId="0" fontId="21" fillId="3" borderId="9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3" borderId="10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14" fontId="16" fillId="2" borderId="1" xfId="0" applyNumberFormat="1" applyFont="1" applyFill="1" applyBorder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 vertical="center"/>
    </xf>
    <xf numFmtId="14" fontId="16" fillId="2" borderId="6" xfId="0" applyNumberFormat="1" applyFont="1" applyFill="1" applyBorder="1" applyAlignment="1">
      <alignment horizontal="center" vertical="center"/>
    </xf>
    <xf numFmtId="14" fontId="16" fillId="2" borderId="3" xfId="0" applyNumberFormat="1" applyFont="1" applyFill="1" applyBorder="1" applyAlignment="1">
      <alignment horizontal="center" vertical="center"/>
    </xf>
    <xf numFmtId="14" fontId="16" fillId="2" borderId="4" xfId="0" applyNumberFormat="1" applyFont="1" applyFill="1" applyBorder="1" applyAlignment="1">
      <alignment horizontal="center" vertical="center"/>
    </xf>
    <xf numFmtId="14" fontId="16" fillId="2" borderId="7" xfId="0" applyNumberFormat="1" applyFont="1" applyFill="1" applyBorder="1" applyAlignment="1">
      <alignment horizontal="center" vertical="center"/>
    </xf>
    <xf numFmtId="14" fontId="16" fillId="2" borderId="5" xfId="0" applyNumberFormat="1" applyFont="1" applyFill="1" applyBorder="1" applyAlignment="1">
      <alignment horizontal="center" vertical="center"/>
    </xf>
    <xf numFmtId="14" fontId="16" fillId="4" borderId="5" xfId="0" applyNumberFormat="1" applyFont="1" applyFill="1" applyBorder="1" applyAlignment="1">
      <alignment horizontal="center" vertical="center"/>
    </xf>
    <xf numFmtId="0" fontId="47" fillId="7" borderId="11" xfId="0" applyFont="1" applyFill="1" applyBorder="1" applyAlignment="1">
      <alignment horizontal="center"/>
    </xf>
    <xf numFmtId="0" fontId="47" fillId="7" borderId="0" xfId="0" applyFont="1" applyFill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5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/>
    </xf>
    <xf numFmtId="49" fontId="23" fillId="5" borderId="5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horizontal="center" vertical="center"/>
    </xf>
    <xf numFmtId="43" fontId="29" fillId="0" borderId="5" xfId="0" applyNumberFormat="1" applyFont="1" applyBorder="1" applyAlignment="1">
      <alignment horizontal="center" vertical="top"/>
    </xf>
    <xf numFmtId="43" fontId="0" fillId="0" borderId="5" xfId="0" applyNumberFormat="1" applyBorder="1" applyAlignment="1">
      <alignment horizontal="center"/>
    </xf>
  </cellXfs>
  <cellStyles count="3">
    <cellStyle name="Normal" xfId="0" builtinId="0"/>
    <cellStyle name="Normal 2" xfId="2" xr:uid="{3B747BF9-9C97-439A-B6F8-0E802C47BB37}"/>
    <cellStyle name="Normal 3" xfId="1" xr:uid="{367895CE-E41F-4EFD-861D-649BBB214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350"/>
  <sheetViews>
    <sheetView topLeftCell="B1" zoomScale="82" zoomScaleNormal="82" workbookViewId="0">
      <selection activeCell="T45" sqref="T45"/>
    </sheetView>
  </sheetViews>
  <sheetFormatPr defaultColWidth="9" defaultRowHeight="15"/>
  <cols>
    <col min="1" max="1" width="3" customWidth="1"/>
    <col min="2" max="2" width="25.5703125" customWidth="1"/>
    <col min="3" max="3" width="26" customWidth="1"/>
    <col min="4" max="5" width="13.42578125" customWidth="1"/>
    <col min="6" max="6" width="13.7109375" customWidth="1"/>
    <col min="7" max="7" width="12.28515625" bestFit="1" customWidth="1"/>
    <col min="8" max="8" width="14.140625" bestFit="1" customWidth="1"/>
    <col min="9" max="23" width="13.85546875" style="55" customWidth="1"/>
    <col min="24" max="24" width="11.5703125" customWidth="1"/>
    <col min="25" max="25" width="12.85546875" bestFit="1" customWidth="1"/>
    <col min="26" max="26" width="13.5703125" customWidth="1"/>
    <col min="27" max="27" width="7.28515625" customWidth="1"/>
    <col min="28" max="28" width="11.140625" bestFit="1" customWidth="1"/>
    <col min="29" max="29" width="14.7109375" customWidth="1"/>
  </cols>
  <sheetData>
    <row r="1" spans="1:35" ht="21">
      <c r="A1" s="288" t="s">
        <v>108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35" ht="41.2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289" t="s">
        <v>164</v>
      </c>
      <c r="M2" s="290"/>
      <c r="N2" s="289" t="s">
        <v>171</v>
      </c>
      <c r="O2" s="290"/>
      <c r="P2" s="289" t="s">
        <v>232</v>
      </c>
      <c r="Q2" s="290"/>
      <c r="R2" s="289" t="s">
        <v>240</v>
      </c>
      <c r="S2" s="290"/>
      <c r="T2" s="289" t="s">
        <v>243</v>
      </c>
      <c r="U2" s="290"/>
      <c r="V2" s="289" t="s">
        <v>247</v>
      </c>
      <c r="W2" s="290"/>
      <c r="X2" s="108"/>
      <c r="Y2" s="108"/>
      <c r="Z2" s="108"/>
      <c r="AA2" s="108"/>
      <c r="AB2" s="108"/>
    </row>
    <row r="3" spans="1:35" ht="27.75" customHeight="1">
      <c r="A3" s="17" t="s">
        <v>1</v>
      </c>
      <c r="B3" s="17" t="s">
        <v>2</v>
      </c>
      <c r="C3" s="17" t="s">
        <v>3</v>
      </c>
      <c r="D3" s="17" t="s">
        <v>122</v>
      </c>
      <c r="E3" s="17" t="s">
        <v>109</v>
      </c>
      <c r="F3" s="17" t="s">
        <v>122</v>
      </c>
      <c r="G3" s="17" t="s">
        <v>109</v>
      </c>
      <c r="H3" s="17" t="s">
        <v>122</v>
      </c>
      <c r="I3" s="17" t="s">
        <v>109</v>
      </c>
      <c r="J3" s="17" t="s">
        <v>122</v>
      </c>
      <c r="K3" s="17" t="s">
        <v>109</v>
      </c>
      <c r="L3" s="17" t="s">
        <v>122</v>
      </c>
      <c r="M3" s="17" t="s">
        <v>109</v>
      </c>
      <c r="N3" s="17" t="s">
        <v>122</v>
      </c>
      <c r="O3" s="17" t="s">
        <v>109</v>
      </c>
      <c r="P3" s="17" t="s">
        <v>122</v>
      </c>
      <c r="Q3" s="17" t="s">
        <v>109</v>
      </c>
      <c r="R3" s="17" t="s">
        <v>122</v>
      </c>
      <c r="S3" s="17" t="s">
        <v>109</v>
      </c>
      <c r="T3" s="17" t="s">
        <v>122</v>
      </c>
      <c r="U3" s="17" t="s">
        <v>109</v>
      </c>
      <c r="V3" s="17" t="s">
        <v>122</v>
      </c>
      <c r="W3" s="17" t="s">
        <v>109</v>
      </c>
      <c r="X3" s="18" t="s">
        <v>125</v>
      </c>
      <c r="Y3" s="18" t="s">
        <v>148</v>
      </c>
      <c r="Z3" s="17" t="s">
        <v>10</v>
      </c>
      <c r="AA3" s="17" t="s">
        <v>11</v>
      </c>
      <c r="AB3" s="20" t="s">
        <v>12</v>
      </c>
      <c r="AC3" s="45"/>
      <c r="AD3" s="45"/>
    </row>
    <row r="4" spans="1:35" ht="15.75">
      <c r="A4" s="19">
        <v>1</v>
      </c>
      <c r="B4" s="20" t="s">
        <v>13</v>
      </c>
      <c r="C4" s="21" t="s">
        <v>14</v>
      </c>
      <c r="D4" s="20">
        <v>4309.3500000000004</v>
      </c>
      <c r="E4" s="20"/>
      <c r="F4" s="20">
        <v>4309.3500000000004</v>
      </c>
      <c r="G4" s="20"/>
      <c r="H4" s="20">
        <v>4309.3500000000004</v>
      </c>
      <c r="I4" s="20"/>
      <c r="J4" s="20">
        <v>4065.35</v>
      </c>
      <c r="K4" s="20">
        <v>0</v>
      </c>
      <c r="L4" s="20">
        <v>4065.35</v>
      </c>
      <c r="M4" s="20">
        <v>0</v>
      </c>
      <c r="N4" s="20">
        <v>3665.35</v>
      </c>
      <c r="O4" s="20">
        <v>0</v>
      </c>
      <c r="P4" s="20">
        <v>3665.35</v>
      </c>
      <c r="Q4" s="20">
        <v>0</v>
      </c>
      <c r="R4" s="20">
        <v>3665.35</v>
      </c>
      <c r="S4" s="20">
        <v>0</v>
      </c>
      <c r="T4" s="20">
        <v>3665.35</v>
      </c>
      <c r="U4" s="20">
        <v>0</v>
      </c>
      <c r="V4" s="20">
        <v>3665.35</v>
      </c>
      <c r="W4" s="20">
        <v>0</v>
      </c>
      <c r="X4" s="18"/>
      <c r="Y4" s="18"/>
      <c r="Z4" s="31">
        <f>(H4+X4)-Y4</f>
        <v>4309.3500000000004</v>
      </c>
      <c r="AA4" s="20"/>
      <c r="AB4" s="28"/>
      <c r="AE4" s="45"/>
      <c r="AF4" s="45"/>
      <c r="AG4" s="45"/>
    </row>
    <row r="5" spans="1:35" ht="15.75">
      <c r="A5" s="19">
        <v>2</v>
      </c>
      <c r="B5" s="20" t="s">
        <v>13</v>
      </c>
      <c r="C5" s="21" t="s">
        <v>15</v>
      </c>
      <c r="D5" s="20">
        <v>1928.5</v>
      </c>
      <c r="E5" s="20">
        <v>101.5</v>
      </c>
      <c r="F5" s="20">
        <v>1928.5</v>
      </c>
      <c r="G5" s="20">
        <v>101.5</v>
      </c>
      <c r="H5" s="20">
        <v>1928.5</v>
      </c>
      <c r="I5" s="20">
        <v>101.5</v>
      </c>
      <c r="J5" s="20">
        <v>1805</v>
      </c>
      <c r="K5" s="20">
        <v>95</v>
      </c>
      <c r="L5" s="20">
        <v>1805</v>
      </c>
      <c r="M5" s="20">
        <v>95</v>
      </c>
      <c r="N5" s="20">
        <v>1672</v>
      </c>
      <c r="O5" s="20">
        <v>88</v>
      </c>
      <c r="P5" s="20">
        <v>1672</v>
      </c>
      <c r="Q5" s="20">
        <v>88</v>
      </c>
      <c r="R5" s="20">
        <v>1672</v>
      </c>
      <c r="S5" s="20">
        <v>88</v>
      </c>
      <c r="T5" s="20">
        <v>1672</v>
      </c>
      <c r="U5" s="20">
        <v>88</v>
      </c>
      <c r="V5" s="20">
        <v>1672</v>
      </c>
      <c r="W5" s="20">
        <v>88</v>
      </c>
      <c r="X5" s="18"/>
      <c r="Y5" s="18"/>
      <c r="Z5" s="31">
        <f t="shared" ref="Z5:Z32" si="0">(H5+X5)-Y5</f>
        <v>1928.5</v>
      </c>
      <c r="AA5" s="32">
        <f>Z5/19</f>
        <v>101.5</v>
      </c>
      <c r="AB5" s="20">
        <f t="shared" ref="AB5:AB12" si="1">Z5/AA5</f>
        <v>19</v>
      </c>
    </row>
    <row r="6" spans="1:35" ht="15.75">
      <c r="A6" s="19">
        <v>3</v>
      </c>
      <c r="B6" s="20" t="s">
        <v>13</v>
      </c>
      <c r="C6" s="21" t="s">
        <v>16</v>
      </c>
      <c r="D6" s="99">
        <v>-74</v>
      </c>
      <c r="E6" s="20">
        <v>-2</v>
      </c>
      <c r="F6" s="99">
        <v>-74</v>
      </c>
      <c r="G6" s="20">
        <v>-2</v>
      </c>
      <c r="H6" s="99">
        <v>-74</v>
      </c>
      <c r="I6" s="20">
        <v>-2</v>
      </c>
      <c r="J6" s="20">
        <v>-1295</v>
      </c>
      <c r="K6" s="20">
        <v>-35</v>
      </c>
      <c r="L6" s="20">
        <v>-1295</v>
      </c>
      <c r="M6" s="20">
        <v>-35</v>
      </c>
      <c r="N6" s="20">
        <v>-1295</v>
      </c>
      <c r="O6" s="20">
        <v>-35</v>
      </c>
      <c r="P6" s="20">
        <v>-1295</v>
      </c>
      <c r="Q6" s="20">
        <v>-35</v>
      </c>
      <c r="R6" s="20">
        <v>-1295</v>
      </c>
      <c r="S6" s="20">
        <v>-35</v>
      </c>
      <c r="T6" s="99">
        <v>-1295</v>
      </c>
      <c r="U6" s="20">
        <v>-35</v>
      </c>
      <c r="V6" s="99">
        <v>-1295</v>
      </c>
      <c r="W6" s="20">
        <v>-35</v>
      </c>
      <c r="X6" s="18"/>
      <c r="Y6" s="18"/>
      <c r="Z6" s="31">
        <f t="shared" si="0"/>
        <v>-74</v>
      </c>
      <c r="AA6" s="32">
        <f>Z6/37</f>
        <v>-2</v>
      </c>
      <c r="AB6" s="20">
        <f t="shared" si="1"/>
        <v>37</v>
      </c>
    </row>
    <row r="7" spans="1:35" ht="15.75">
      <c r="A7" s="19">
        <v>4</v>
      </c>
      <c r="B7" s="20" t="s">
        <v>13</v>
      </c>
      <c r="C7" s="21" t="s">
        <v>17</v>
      </c>
      <c r="D7" s="20">
        <v>1946.5</v>
      </c>
      <c r="E7" s="20">
        <v>114.5</v>
      </c>
      <c r="F7" s="20">
        <v>1946.5</v>
      </c>
      <c r="G7" s="20">
        <v>114.5</v>
      </c>
      <c r="H7" s="20">
        <v>1946.5</v>
      </c>
      <c r="I7" s="20">
        <v>114.5</v>
      </c>
      <c r="J7" s="20">
        <v>1912.5</v>
      </c>
      <c r="K7" s="20">
        <v>112.5</v>
      </c>
      <c r="L7" s="20">
        <v>1912.5</v>
      </c>
      <c r="M7" s="20">
        <v>112.5</v>
      </c>
      <c r="N7" s="20">
        <v>1912.5</v>
      </c>
      <c r="O7" s="20">
        <v>112.5</v>
      </c>
      <c r="P7" s="20">
        <v>1912.5</v>
      </c>
      <c r="Q7" s="20">
        <v>112.5</v>
      </c>
      <c r="R7" s="20">
        <v>1912.5</v>
      </c>
      <c r="S7" s="20">
        <v>112.5</v>
      </c>
      <c r="T7" s="20">
        <v>1912.5</v>
      </c>
      <c r="U7" s="20">
        <v>112.5</v>
      </c>
      <c r="V7" s="20">
        <v>1912.5</v>
      </c>
      <c r="W7" s="20">
        <v>112.5</v>
      </c>
      <c r="X7" s="18"/>
      <c r="Y7" s="18"/>
      <c r="Z7" s="31">
        <f t="shared" si="0"/>
        <v>1946.5</v>
      </c>
      <c r="AA7" s="32">
        <f>Z7/17</f>
        <v>114.5</v>
      </c>
      <c r="AB7" s="20">
        <f t="shared" si="1"/>
        <v>17</v>
      </c>
    </row>
    <row r="8" spans="1:35" ht="15.75">
      <c r="A8" s="19">
        <v>5</v>
      </c>
      <c r="B8" s="20" t="s">
        <v>13</v>
      </c>
      <c r="C8" s="21" t="s">
        <v>18</v>
      </c>
      <c r="D8" s="99">
        <f>-11610</f>
        <v>-11610</v>
      </c>
      <c r="E8" s="20">
        <v>-2322</v>
      </c>
      <c r="F8" s="99">
        <f>-11610</f>
        <v>-11610</v>
      </c>
      <c r="G8" s="20">
        <v>-2322</v>
      </c>
      <c r="H8" s="99">
        <f>-11610</f>
        <v>-11610</v>
      </c>
      <c r="I8" s="20">
        <v>-2322</v>
      </c>
      <c r="J8" s="20">
        <v>-11760</v>
      </c>
      <c r="K8" s="20">
        <v>-2352</v>
      </c>
      <c r="L8" s="20">
        <v>-11760</v>
      </c>
      <c r="M8" s="20">
        <v>-2352</v>
      </c>
      <c r="N8" s="20">
        <v>-11760</v>
      </c>
      <c r="O8" s="20">
        <v>-2352</v>
      </c>
      <c r="P8" s="20">
        <v>-11760</v>
      </c>
      <c r="Q8" s="20">
        <v>-2352</v>
      </c>
      <c r="R8" s="20">
        <v>-11760</v>
      </c>
      <c r="S8" s="20">
        <v>-2352</v>
      </c>
      <c r="T8" s="99">
        <v>-11760</v>
      </c>
      <c r="U8" s="20">
        <v>-2352</v>
      </c>
      <c r="V8" s="99">
        <v>-11760</v>
      </c>
      <c r="W8" s="20">
        <v>-2352</v>
      </c>
      <c r="X8" s="18"/>
      <c r="Y8" s="18"/>
      <c r="Z8" s="31">
        <f t="shared" si="0"/>
        <v>-11610</v>
      </c>
      <c r="AA8" s="32">
        <f>Z8/5</f>
        <v>-2322</v>
      </c>
      <c r="AB8" s="20">
        <f t="shared" si="1"/>
        <v>5</v>
      </c>
    </row>
    <row r="9" spans="1:35" ht="15.75">
      <c r="A9" s="19">
        <v>6</v>
      </c>
      <c r="B9" s="20" t="s">
        <v>13</v>
      </c>
      <c r="C9" s="21" t="s">
        <v>19</v>
      </c>
      <c r="D9" s="99">
        <f>-190.8</f>
        <v>-190.8</v>
      </c>
      <c r="E9" s="20">
        <v>-318</v>
      </c>
      <c r="F9" s="99">
        <f>-190.8</f>
        <v>-190.8</v>
      </c>
      <c r="G9" s="20">
        <v>-318</v>
      </c>
      <c r="H9" s="99">
        <f>-190.8</f>
        <v>-190.8</v>
      </c>
      <c r="I9" s="20">
        <v>-318</v>
      </c>
      <c r="J9" s="20">
        <v>-201</v>
      </c>
      <c r="K9" s="20">
        <v>-335</v>
      </c>
      <c r="L9" s="20">
        <v>-201</v>
      </c>
      <c r="M9" s="20">
        <v>-335</v>
      </c>
      <c r="N9" s="20">
        <v>-201</v>
      </c>
      <c r="O9" s="20">
        <v>-333</v>
      </c>
      <c r="P9" s="20">
        <v>-201</v>
      </c>
      <c r="Q9" s="20">
        <v>-333</v>
      </c>
      <c r="R9" s="20">
        <v>-201</v>
      </c>
      <c r="S9" s="20">
        <v>-333</v>
      </c>
      <c r="T9" s="99">
        <v>-201</v>
      </c>
      <c r="U9" s="20">
        <v>-333</v>
      </c>
      <c r="V9" s="99">
        <v>-201</v>
      </c>
      <c r="W9" s="20">
        <v>-333</v>
      </c>
      <c r="X9" s="18"/>
      <c r="Y9" s="18"/>
      <c r="Z9" s="31">
        <f t="shared" si="0"/>
        <v>-190.8</v>
      </c>
      <c r="AA9" s="32">
        <f>Z9/0.6</f>
        <v>-318.00000000000006</v>
      </c>
      <c r="AB9" s="20">
        <f t="shared" si="1"/>
        <v>0.6</v>
      </c>
    </row>
    <row r="10" spans="1:35" ht="15.75">
      <c r="A10" s="19">
        <v>7</v>
      </c>
      <c r="B10" s="20" t="s">
        <v>13</v>
      </c>
      <c r="C10" s="24" t="s">
        <v>20</v>
      </c>
      <c r="D10" s="20">
        <v>2075</v>
      </c>
      <c r="E10" s="20">
        <v>415</v>
      </c>
      <c r="F10" s="20">
        <v>2075</v>
      </c>
      <c r="G10" s="20">
        <v>415</v>
      </c>
      <c r="H10" s="20">
        <v>2075</v>
      </c>
      <c r="I10" s="20">
        <v>415</v>
      </c>
      <c r="J10" s="20">
        <v>1900</v>
      </c>
      <c r="K10" s="20">
        <v>380</v>
      </c>
      <c r="L10" s="20">
        <v>1900</v>
      </c>
      <c r="M10" s="20">
        <v>380</v>
      </c>
      <c r="N10" s="20">
        <v>1900</v>
      </c>
      <c r="O10" s="20">
        <v>380</v>
      </c>
      <c r="P10" s="20">
        <v>1900</v>
      </c>
      <c r="Q10" s="20">
        <v>380</v>
      </c>
      <c r="R10" s="20">
        <v>1900</v>
      </c>
      <c r="S10" s="20">
        <v>380</v>
      </c>
      <c r="T10" s="20">
        <v>1900</v>
      </c>
      <c r="U10" s="20">
        <v>380</v>
      </c>
      <c r="V10" s="20">
        <v>1900</v>
      </c>
      <c r="W10" s="20">
        <v>380</v>
      </c>
      <c r="X10" s="18"/>
      <c r="Y10" s="18"/>
      <c r="Z10" s="31">
        <f t="shared" si="0"/>
        <v>2075</v>
      </c>
      <c r="AA10" s="32">
        <f>Z10/5</f>
        <v>415</v>
      </c>
      <c r="AB10" s="20">
        <f t="shared" si="1"/>
        <v>5</v>
      </c>
      <c r="AF10" t="s">
        <v>21</v>
      </c>
    </row>
    <row r="11" spans="1:35" ht="15.75">
      <c r="A11" s="19">
        <v>8</v>
      </c>
      <c r="B11" s="20" t="s">
        <v>13</v>
      </c>
      <c r="C11" s="24" t="s">
        <v>22</v>
      </c>
      <c r="D11" s="99">
        <f>-745</f>
        <v>-745</v>
      </c>
      <c r="E11" s="20">
        <v>-149</v>
      </c>
      <c r="F11" s="99">
        <f>-745</f>
        <v>-745</v>
      </c>
      <c r="G11" s="20">
        <v>-149</v>
      </c>
      <c r="H11" s="99">
        <f>-745</f>
        <v>-745</v>
      </c>
      <c r="I11" s="20">
        <v>-149</v>
      </c>
      <c r="J11" s="20">
        <v>-745</v>
      </c>
      <c r="K11" s="20">
        <v>-149</v>
      </c>
      <c r="L11" s="20">
        <v>-745</v>
      </c>
      <c r="M11" s="20">
        <v>-149</v>
      </c>
      <c r="N11" s="20">
        <v>-745</v>
      </c>
      <c r="O11" s="20">
        <v>-149</v>
      </c>
      <c r="P11" s="20">
        <v>-745</v>
      </c>
      <c r="Q11" s="20">
        <v>-149</v>
      </c>
      <c r="R11" s="20">
        <v>-745</v>
      </c>
      <c r="S11" s="20">
        <v>-149</v>
      </c>
      <c r="T11" s="99">
        <v>-745</v>
      </c>
      <c r="U11" s="20">
        <v>-149</v>
      </c>
      <c r="V11" s="99">
        <v>-745</v>
      </c>
      <c r="W11" s="20">
        <v>-149</v>
      </c>
      <c r="X11" s="18"/>
      <c r="Y11" s="18"/>
      <c r="Z11" s="31">
        <f t="shared" si="0"/>
        <v>-745</v>
      </c>
      <c r="AA11" s="32">
        <f>Z11/5</f>
        <v>-149</v>
      </c>
      <c r="AB11" s="20">
        <f t="shared" si="1"/>
        <v>5</v>
      </c>
    </row>
    <row r="12" spans="1:35" ht="15.75">
      <c r="A12" s="19">
        <v>9</v>
      </c>
      <c r="B12" s="20" t="s">
        <v>13</v>
      </c>
      <c r="C12" s="24" t="s">
        <v>23</v>
      </c>
      <c r="D12" s="20">
        <v>82.4</v>
      </c>
      <c r="E12" s="20">
        <v>103</v>
      </c>
      <c r="F12" s="20">
        <v>82.4</v>
      </c>
      <c r="G12" s="20">
        <v>103</v>
      </c>
      <c r="H12" s="20">
        <v>82.4</v>
      </c>
      <c r="I12" s="20">
        <v>103</v>
      </c>
      <c r="J12" s="20">
        <v>82.4</v>
      </c>
      <c r="K12" s="20">
        <v>103</v>
      </c>
      <c r="L12" s="20">
        <v>82.4</v>
      </c>
      <c r="M12" s="20">
        <v>103</v>
      </c>
      <c r="N12" s="20">
        <v>82.4</v>
      </c>
      <c r="O12" s="20">
        <v>103</v>
      </c>
      <c r="P12" s="20">
        <v>82.4</v>
      </c>
      <c r="Q12" s="20">
        <v>103</v>
      </c>
      <c r="R12" s="20">
        <v>82.4</v>
      </c>
      <c r="S12" s="20">
        <v>103</v>
      </c>
      <c r="T12" s="20">
        <v>82.4</v>
      </c>
      <c r="U12" s="20">
        <v>103</v>
      </c>
      <c r="V12" s="20">
        <v>82.4</v>
      </c>
      <c r="W12" s="20">
        <v>103</v>
      </c>
      <c r="X12" s="18"/>
      <c r="Y12" s="18"/>
      <c r="Z12" s="31">
        <f t="shared" si="0"/>
        <v>82.4</v>
      </c>
      <c r="AA12" s="32">
        <f>Z12/0.8</f>
        <v>103</v>
      </c>
      <c r="AB12" s="20">
        <f t="shared" si="1"/>
        <v>0.8</v>
      </c>
      <c r="AI12" t="s">
        <v>24</v>
      </c>
    </row>
    <row r="13" spans="1:35" ht="15.75">
      <c r="A13" s="19">
        <v>10</v>
      </c>
      <c r="B13" s="20" t="s">
        <v>13</v>
      </c>
      <c r="C13" s="24" t="s">
        <v>25</v>
      </c>
      <c r="D13" s="20">
        <v>105</v>
      </c>
      <c r="E13" s="20"/>
      <c r="F13" s="20">
        <v>105</v>
      </c>
      <c r="G13" s="20"/>
      <c r="H13" s="20">
        <v>105</v>
      </c>
      <c r="I13" s="20"/>
      <c r="J13" s="20">
        <v>105</v>
      </c>
      <c r="K13" s="20">
        <v>0</v>
      </c>
      <c r="L13" s="20">
        <v>105</v>
      </c>
      <c r="M13" s="20">
        <v>0</v>
      </c>
      <c r="N13" s="20">
        <v>55</v>
      </c>
      <c r="O13" s="20">
        <v>0</v>
      </c>
      <c r="P13" s="20">
        <v>55</v>
      </c>
      <c r="Q13" s="20">
        <v>0</v>
      </c>
      <c r="R13" s="20">
        <v>55</v>
      </c>
      <c r="S13" s="20">
        <v>0</v>
      </c>
      <c r="T13" s="20">
        <v>55</v>
      </c>
      <c r="U13" s="20">
        <v>0</v>
      </c>
      <c r="V13" s="20">
        <v>55</v>
      </c>
      <c r="W13" s="20">
        <v>0</v>
      </c>
      <c r="X13" s="18"/>
      <c r="Y13" s="18"/>
      <c r="Z13" s="31">
        <f t="shared" si="0"/>
        <v>105</v>
      </c>
      <c r="AA13" s="32">
        <v>0</v>
      </c>
      <c r="AB13" s="20">
        <v>0</v>
      </c>
    </row>
    <row r="14" spans="1:35" ht="15.75">
      <c r="A14" s="19">
        <v>11</v>
      </c>
      <c r="B14" s="20" t="s">
        <v>13</v>
      </c>
      <c r="C14" s="24" t="s">
        <v>26</v>
      </c>
      <c r="D14" s="20">
        <v>430</v>
      </c>
      <c r="E14" s="20"/>
      <c r="F14" s="20">
        <v>430</v>
      </c>
      <c r="G14" s="20"/>
      <c r="H14" s="20">
        <v>430</v>
      </c>
      <c r="I14" s="20">
        <v>0</v>
      </c>
      <c r="J14" s="20">
        <v>430</v>
      </c>
      <c r="K14" s="20">
        <v>0</v>
      </c>
      <c r="L14" s="20">
        <v>430</v>
      </c>
      <c r="M14" s="20">
        <v>0</v>
      </c>
      <c r="N14" s="20">
        <v>430</v>
      </c>
      <c r="O14" s="20">
        <v>0</v>
      </c>
      <c r="P14" s="20">
        <v>430</v>
      </c>
      <c r="Q14" s="20">
        <v>0</v>
      </c>
      <c r="R14" s="20">
        <v>430</v>
      </c>
      <c r="S14" s="20">
        <v>0</v>
      </c>
      <c r="T14" s="20">
        <v>430</v>
      </c>
      <c r="U14" s="20">
        <v>0</v>
      </c>
      <c r="V14" s="20">
        <v>430</v>
      </c>
      <c r="W14" s="20">
        <v>0</v>
      </c>
      <c r="X14" s="18"/>
      <c r="Y14" s="18"/>
      <c r="Z14" s="31">
        <f t="shared" si="0"/>
        <v>430</v>
      </c>
      <c r="AA14" s="32">
        <v>0</v>
      </c>
      <c r="AB14" s="20">
        <v>0</v>
      </c>
    </row>
    <row r="15" spans="1:35" ht="15.75">
      <c r="A15" s="19">
        <v>12</v>
      </c>
      <c r="B15" s="20" t="s">
        <v>13</v>
      </c>
      <c r="C15" s="21" t="s">
        <v>27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/>
      <c r="O15" s="20">
        <v>0</v>
      </c>
      <c r="P15" s="20"/>
      <c r="Q15" s="20">
        <v>0</v>
      </c>
      <c r="R15" s="20"/>
      <c r="S15" s="20">
        <v>0</v>
      </c>
      <c r="T15" s="20"/>
      <c r="U15" s="20">
        <v>0</v>
      </c>
      <c r="V15" s="20"/>
      <c r="W15" s="20">
        <v>0</v>
      </c>
      <c r="X15" s="18"/>
      <c r="Y15" s="18"/>
      <c r="Z15" s="31">
        <f t="shared" si="0"/>
        <v>0</v>
      </c>
      <c r="AA15" s="32">
        <v>0</v>
      </c>
      <c r="AB15" s="20">
        <v>0</v>
      </c>
    </row>
    <row r="16" spans="1:35" ht="15.75">
      <c r="A16" s="19">
        <v>13</v>
      </c>
      <c r="B16" s="20" t="s">
        <v>13</v>
      </c>
      <c r="C16" s="25" t="s">
        <v>28</v>
      </c>
      <c r="D16" s="20">
        <v>8559.5</v>
      </c>
      <c r="E16" s="20">
        <v>503.3</v>
      </c>
      <c r="F16" s="20">
        <v>8559.5</v>
      </c>
      <c r="G16" s="20">
        <v>503.3</v>
      </c>
      <c r="H16" s="20">
        <v>8559.5</v>
      </c>
      <c r="I16" s="20">
        <v>503.3</v>
      </c>
      <c r="J16" s="20">
        <v>7930.5</v>
      </c>
      <c r="K16" s="20">
        <v>466.5</v>
      </c>
      <c r="L16" s="20">
        <v>7930.5</v>
      </c>
      <c r="M16" s="20">
        <v>466.5</v>
      </c>
      <c r="N16" s="20">
        <v>7743.5</v>
      </c>
      <c r="O16" s="20">
        <v>455.5</v>
      </c>
      <c r="P16" s="20">
        <v>7743.5</v>
      </c>
      <c r="Q16" s="20">
        <v>455.5</v>
      </c>
      <c r="R16" s="20">
        <v>7743.5</v>
      </c>
      <c r="S16" s="20">
        <v>455.5</v>
      </c>
      <c r="T16" s="20">
        <v>7743.5</v>
      </c>
      <c r="U16" s="20">
        <v>455.5</v>
      </c>
      <c r="V16" s="20">
        <v>7743.5</v>
      </c>
      <c r="W16" s="20">
        <v>455.5</v>
      </c>
      <c r="X16" s="18"/>
      <c r="Y16" s="18"/>
      <c r="Z16" s="31">
        <f t="shared" si="0"/>
        <v>8559.5</v>
      </c>
      <c r="AA16" s="32">
        <f>Z16/17</f>
        <v>503.5</v>
      </c>
      <c r="AB16" s="20">
        <f>Z16/AA16</f>
        <v>17</v>
      </c>
    </row>
    <row r="17" spans="1:31" ht="15.75">
      <c r="A17" s="19">
        <v>14</v>
      </c>
      <c r="B17" s="20" t="s">
        <v>13</v>
      </c>
      <c r="C17" s="25" t="s">
        <v>29</v>
      </c>
      <c r="D17" s="20">
        <v>0</v>
      </c>
      <c r="E17" s="20"/>
      <c r="F17" s="20">
        <v>0</v>
      </c>
      <c r="G17" s="20"/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/>
      <c r="O17" s="20">
        <v>0</v>
      </c>
      <c r="P17" s="20"/>
      <c r="Q17" s="20">
        <v>0</v>
      </c>
      <c r="R17" s="20"/>
      <c r="S17" s="20">
        <v>0</v>
      </c>
      <c r="T17" s="20"/>
      <c r="U17" s="20">
        <v>0</v>
      </c>
      <c r="V17" s="20"/>
      <c r="W17" s="20">
        <v>0</v>
      </c>
      <c r="X17" s="18"/>
      <c r="Y17" s="18"/>
      <c r="Z17" s="31">
        <f t="shared" si="0"/>
        <v>0</v>
      </c>
      <c r="AA17" s="32">
        <f>Z17/19</f>
        <v>0</v>
      </c>
      <c r="AB17" s="20">
        <v>0</v>
      </c>
      <c r="AD17" t="s">
        <v>21</v>
      </c>
    </row>
    <row r="18" spans="1:31" ht="15.75">
      <c r="A18" s="19">
        <v>15</v>
      </c>
      <c r="B18" s="20" t="s">
        <v>13</v>
      </c>
      <c r="C18" s="25" t="s">
        <v>30</v>
      </c>
      <c r="D18" s="20">
        <v>4135.3</v>
      </c>
      <c r="E18" s="20"/>
      <c r="F18" s="20">
        <v>4135.3</v>
      </c>
      <c r="G18" s="20"/>
      <c r="H18" s="20">
        <v>4135.3</v>
      </c>
      <c r="I18" s="20">
        <v>0</v>
      </c>
      <c r="J18" s="20">
        <v>3035.3</v>
      </c>
      <c r="K18" s="20">
        <v>0</v>
      </c>
      <c r="L18" s="20">
        <v>3035.3</v>
      </c>
      <c r="M18" s="20">
        <v>0</v>
      </c>
      <c r="N18" s="20">
        <v>1535.3</v>
      </c>
      <c r="O18" s="20">
        <v>0</v>
      </c>
      <c r="P18" s="20">
        <v>1535.3</v>
      </c>
      <c r="Q18" s="20">
        <v>0</v>
      </c>
      <c r="R18" s="20">
        <v>1535.3</v>
      </c>
      <c r="S18" s="20">
        <v>0</v>
      </c>
      <c r="T18" s="20">
        <v>1535.3</v>
      </c>
      <c r="U18" s="20">
        <v>0</v>
      </c>
      <c r="V18" s="20">
        <v>1535.3</v>
      </c>
      <c r="W18" s="20">
        <v>0</v>
      </c>
      <c r="X18" s="18"/>
      <c r="Y18" s="18"/>
      <c r="Z18" s="31">
        <f t="shared" si="0"/>
        <v>4135.3</v>
      </c>
      <c r="AA18" s="32">
        <v>0</v>
      </c>
      <c r="AB18" s="20">
        <v>0</v>
      </c>
    </row>
    <row r="19" spans="1:31" ht="15.75">
      <c r="A19" s="19">
        <v>16</v>
      </c>
      <c r="B19" s="20" t="s">
        <v>13</v>
      </c>
      <c r="C19" s="25" t="s">
        <v>31</v>
      </c>
      <c r="D19" s="20">
        <v>3798</v>
      </c>
      <c r="E19" s="20"/>
      <c r="F19" s="20">
        <v>3798</v>
      </c>
      <c r="G19" s="20"/>
      <c r="H19" s="20">
        <v>3798</v>
      </c>
      <c r="I19" s="20">
        <v>0</v>
      </c>
      <c r="J19" s="20">
        <v>3798</v>
      </c>
      <c r="K19" s="20">
        <v>0</v>
      </c>
      <c r="L19" s="20">
        <v>3798</v>
      </c>
      <c r="M19" s="20">
        <v>0</v>
      </c>
      <c r="N19" s="20">
        <v>2848</v>
      </c>
      <c r="O19" s="20">
        <v>0</v>
      </c>
      <c r="P19" s="20">
        <v>2848</v>
      </c>
      <c r="Q19" s="20">
        <v>0</v>
      </c>
      <c r="R19" s="20">
        <v>2848</v>
      </c>
      <c r="S19" s="20">
        <v>0</v>
      </c>
      <c r="T19" s="20">
        <v>2848</v>
      </c>
      <c r="U19" s="20">
        <v>0</v>
      </c>
      <c r="V19" s="20">
        <v>2848</v>
      </c>
      <c r="W19" s="20">
        <v>0</v>
      </c>
      <c r="X19" s="18"/>
      <c r="Y19" s="18"/>
      <c r="Z19" s="31">
        <f t="shared" si="0"/>
        <v>3798</v>
      </c>
      <c r="AA19" s="32">
        <v>0</v>
      </c>
      <c r="AB19" s="20">
        <v>0</v>
      </c>
    </row>
    <row r="20" spans="1:31" ht="15.75">
      <c r="A20" s="19">
        <v>17</v>
      </c>
      <c r="B20" s="20" t="s">
        <v>13</v>
      </c>
      <c r="C20" s="25" t="s">
        <v>32</v>
      </c>
      <c r="D20" s="20">
        <v>1450</v>
      </c>
      <c r="E20" s="20"/>
      <c r="F20" s="20">
        <v>1450</v>
      </c>
      <c r="G20" s="20"/>
      <c r="H20" s="20">
        <v>1450</v>
      </c>
      <c r="I20" s="20">
        <v>0</v>
      </c>
      <c r="J20" s="20">
        <v>1450</v>
      </c>
      <c r="K20" s="20">
        <v>0</v>
      </c>
      <c r="L20" s="20">
        <v>1450</v>
      </c>
      <c r="M20" s="20">
        <v>0</v>
      </c>
      <c r="N20" s="20">
        <v>1450</v>
      </c>
      <c r="O20" s="20">
        <v>0</v>
      </c>
      <c r="P20" s="20">
        <v>1450</v>
      </c>
      <c r="Q20" s="20">
        <v>0</v>
      </c>
      <c r="R20" s="20">
        <v>1450</v>
      </c>
      <c r="S20" s="20">
        <v>0</v>
      </c>
      <c r="T20" s="20">
        <v>1450</v>
      </c>
      <c r="U20" s="20">
        <v>0</v>
      </c>
      <c r="V20" s="20">
        <v>1450</v>
      </c>
      <c r="W20" s="20">
        <v>0</v>
      </c>
      <c r="X20" s="18"/>
      <c r="Y20" s="18"/>
      <c r="Z20" s="31">
        <f t="shared" si="0"/>
        <v>1450</v>
      </c>
      <c r="AA20" s="32">
        <v>0</v>
      </c>
      <c r="AB20" s="20">
        <v>0</v>
      </c>
      <c r="AE20" t="s">
        <v>21</v>
      </c>
    </row>
    <row r="21" spans="1:31" ht="15.75">
      <c r="A21" s="19">
        <v>18</v>
      </c>
      <c r="B21" s="20" t="s">
        <v>13</v>
      </c>
      <c r="C21" s="25" t="s">
        <v>33</v>
      </c>
      <c r="D21" s="99">
        <v>-4381.2</v>
      </c>
      <c r="E21" s="20"/>
      <c r="F21" s="99">
        <v>-4381.2</v>
      </c>
      <c r="G21" s="20"/>
      <c r="H21" s="99">
        <v>-4381.2</v>
      </c>
      <c r="I21" s="20">
        <v>0</v>
      </c>
      <c r="J21" s="20">
        <v>-4481.2</v>
      </c>
      <c r="K21" s="20">
        <v>0</v>
      </c>
      <c r="L21" s="20">
        <v>-4481.2</v>
      </c>
      <c r="M21" s="20">
        <v>0</v>
      </c>
      <c r="N21" s="20">
        <v>-4481.2</v>
      </c>
      <c r="O21" s="20">
        <v>0</v>
      </c>
      <c r="P21" s="20">
        <v>-4481.2</v>
      </c>
      <c r="Q21" s="20">
        <v>0</v>
      </c>
      <c r="R21" s="20">
        <v>-4481.2</v>
      </c>
      <c r="S21" s="20">
        <v>0</v>
      </c>
      <c r="T21" s="99">
        <v>-4481.2</v>
      </c>
      <c r="U21" s="20">
        <v>0</v>
      </c>
      <c r="V21" s="99">
        <v>-4481.2</v>
      </c>
      <c r="W21" s="20">
        <v>0</v>
      </c>
      <c r="X21" s="18"/>
      <c r="Y21" s="18"/>
      <c r="Z21" s="31">
        <f t="shared" si="0"/>
        <v>-4381.2</v>
      </c>
      <c r="AA21" s="32">
        <v>0</v>
      </c>
      <c r="AB21" s="20">
        <v>0</v>
      </c>
    </row>
    <row r="22" spans="1:31" ht="15.75">
      <c r="A22" s="19">
        <v>19</v>
      </c>
      <c r="B22" s="20" t="s">
        <v>13</v>
      </c>
      <c r="C22" s="25" t="s">
        <v>34</v>
      </c>
      <c r="D22" s="20">
        <v>1817.35</v>
      </c>
      <c r="E22" s="20"/>
      <c r="F22" s="20">
        <v>1817.35</v>
      </c>
      <c r="G22" s="20"/>
      <c r="H22" s="20">
        <v>1817.35</v>
      </c>
      <c r="I22" s="20">
        <v>0</v>
      </c>
      <c r="J22" s="20">
        <v>1817.35</v>
      </c>
      <c r="K22" s="20">
        <v>0</v>
      </c>
      <c r="L22" s="20">
        <v>1817.35</v>
      </c>
      <c r="M22" s="20">
        <v>0</v>
      </c>
      <c r="N22" s="20">
        <v>1817.35</v>
      </c>
      <c r="O22" s="20">
        <v>0</v>
      </c>
      <c r="P22" s="20">
        <v>1817.35</v>
      </c>
      <c r="Q22" s="20">
        <v>0</v>
      </c>
      <c r="R22" s="20">
        <v>1817.35</v>
      </c>
      <c r="S22" s="20">
        <v>0</v>
      </c>
      <c r="T22" s="20">
        <v>1817.35</v>
      </c>
      <c r="U22" s="20">
        <v>0</v>
      </c>
      <c r="V22" s="20">
        <v>1817.35</v>
      </c>
      <c r="W22" s="20">
        <v>0</v>
      </c>
      <c r="X22" s="18"/>
      <c r="Y22" s="18"/>
      <c r="Z22" s="31">
        <f t="shared" si="0"/>
        <v>1817.35</v>
      </c>
      <c r="AA22" s="32">
        <v>0</v>
      </c>
      <c r="AB22" s="20">
        <v>0</v>
      </c>
    </row>
    <row r="23" spans="1:31" ht="15.75">
      <c r="A23" s="19">
        <v>20</v>
      </c>
      <c r="B23" s="20" t="s">
        <v>13</v>
      </c>
      <c r="C23" s="25" t="s">
        <v>35</v>
      </c>
      <c r="D23" s="20">
        <v>221</v>
      </c>
      <c r="E23" s="20"/>
      <c r="F23" s="20">
        <v>221</v>
      </c>
      <c r="G23" s="20"/>
      <c r="H23" s="20">
        <v>221</v>
      </c>
      <c r="I23" s="20">
        <v>0</v>
      </c>
      <c r="J23" s="20">
        <v>221</v>
      </c>
      <c r="K23" s="20">
        <v>0</v>
      </c>
      <c r="L23" s="20">
        <v>221</v>
      </c>
      <c r="M23" s="20">
        <v>0</v>
      </c>
      <c r="N23" s="20">
        <v>221</v>
      </c>
      <c r="O23" s="20">
        <v>0</v>
      </c>
      <c r="P23" s="20">
        <v>221</v>
      </c>
      <c r="Q23" s="20">
        <v>0</v>
      </c>
      <c r="R23" s="20">
        <v>221</v>
      </c>
      <c r="S23" s="20">
        <v>0</v>
      </c>
      <c r="T23" s="20">
        <v>221</v>
      </c>
      <c r="U23" s="20">
        <v>0</v>
      </c>
      <c r="V23" s="20">
        <v>221</v>
      </c>
      <c r="W23" s="20">
        <v>0</v>
      </c>
      <c r="X23" s="18"/>
      <c r="Y23" s="18"/>
      <c r="Z23" s="31">
        <f t="shared" si="0"/>
        <v>221</v>
      </c>
      <c r="AA23" s="32">
        <v>0</v>
      </c>
      <c r="AB23" s="20">
        <v>0</v>
      </c>
    </row>
    <row r="24" spans="1:31" ht="15.75">
      <c r="A24" s="19">
        <v>21</v>
      </c>
      <c r="B24" s="20" t="s">
        <v>13</v>
      </c>
      <c r="C24" s="25" t="s">
        <v>36</v>
      </c>
      <c r="D24" s="20">
        <v>1680</v>
      </c>
      <c r="E24" s="20"/>
      <c r="F24" s="20">
        <v>1680</v>
      </c>
      <c r="G24" s="20"/>
      <c r="H24" s="20">
        <v>1680</v>
      </c>
      <c r="I24" s="20">
        <v>0</v>
      </c>
      <c r="J24" s="20">
        <v>1680</v>
      </c>
      <c r="K24" s="20">
        <v>0</v>
      </c>
      <c r="L24" s="20">
        <v>1680</v>
      </c>
      <c r="M24" s="20">
        <v>0</v>
      </c>
      <c r="N24" s="20">
        <v>1680</v>
      </c>
      <c r="O24" s="20">
        <v>0</v>
      </c>
      <c r="P24" s="20">
        <v>1680</v>
      </c>
      <c r="Q24" s="20">
        <v>0</v>
      </c>
      <c r="R24" s="20">
        <v>1680</v>
      </c>
      <c r="S24" s="20">
        <v>0</v>
      </c>
      <c r="T24" s="20">
        <v>1680</v>
      </c>
      <c r="U24" s="20">
        <v>0</v>
      </c>
      <c r="V24" s="20">
        <v>1680</v>
      </c>
      <c r="W24" s="20">
        <v>0</v>
      </c>
      <c r="X24" s="18"/>
      <c r="Y24" s="18"/>
      <c r="Z24" s="31">
        <f t="shared" si="0"/>
        <v>1680</v>
      </c>
      <c r="AA24" s="32">
        <v>0</v>
      </c>
      <c r="AB24" s="20">
        <v>0</v>
      </c>
    </row>
    <row r="25" spans="1:31" ht="15.75">
      <c r="A25" s="19">
        <v>22</v>
      </c>
      <c r="B25" s="20" t="s">
        <v>13</v>
      </c>
      <c r="C25" s="25" t="s">
        <v>37</v>
      </c>
      <c r="D25" s="20">
        <v>2560</v>
      </c>
      <c r="E25" s="20"/>
      <c r="F25" s="20">
        <v>2260</v>
      </c>
      <c r="G25" s="20"/>
      <c r="H25" s="20">
        <v>2260</v>
      </c>
      <c r="I25" s="20">
        <v>0</v>
      </c>
      <c r="J25" s="20">
        <v>2260</v>
      </c>
      <c r="K25" s="20">
        <v>0</v>
      </c>
      <c r="L25" s="20">
        <v>2260</v>
      </c>
      <c r="M25" s="20">
        <v>0</v>
      </c>
      <c r="N25" s="20">
        <v>2260</v>
      </c>
      <c r="O25" s="20">
        <v>0</v>
      </c>
      <c r="P25" s="20">
        <v>2260</v>
      </c>
      <c r="Q25" s="20">
        <v>0</v>
      </c>
      <c r="R25" s="20">
        <v>2260</v>
      </c>
      <c r="S25" s="20">
        <v>0</v>
      </c>
      <c r="T25" s="20">
        <v>2260</v>
      </c>
      <c r="U25" s="20">
        <v>0</v>
      </c>
      <c r="V25" s="20">
        <v>2260</v>
      </c>
      <c r="W25" s="20">
        <v>0</v>
      </c>
      <c r="X25" s="18"/>
      <c r="Y25" s="18"/>
      <c r="Z25" s="31">
        <f t="shared" si="0"/>
        <v>2260</v>
      </c>
      <c r="AA25" s="32">
        <v>0</v>
      </c>
      <c r="AB25" s="20">
        <v>0</v>
      </c>
    </row>
    <row r="26" spans="1:31" ht="15.75">
      <c r="A26" s="19">
        <v>23</v>
      </c>
      <c r="B26" s="20" t="s">
        <v>13</v>
      </c>
      <c r="C26" s="21" t="s">
        <v>38</v>
      </c>
      <c r="D26" s="26"/>
      <c r="E26" s="26"/>
      <c r="F26" s="26"/>
      <c r="G26" s="26"/>
      <c r="H26" s="26"/>
      <c r="I26" s="26">
        <v>0</v>
      </c>
      <c r="J26" s="26"/>
      <c r="K26" s="26">
        <v>0</v>
      </c>
      <c r="L26" s="26"/>
      <c r="M26" s="26">
        <v>0</v>
      </c>
      <c r="N26" s="26">
        <v>0</v>
      </c>
      <c r="O26" s="26">
        <v>0</v>
      </c>
      <c r="P26" s="26">
        <v>0</v>
      </c>
      <c r="Q26" s="26"/>
      <c r="R26" s="26"/>
      <c r="S26" s="26"/>
      <c r="T26" s="26"/>
      <c r="U26" s="26"/>
      <c r="V26" s="26"/>
      <c r="W26" s="26"/>
      <c r="X26" s="18"/>
      <c r="Y26" s="18"/>
      <c r="Z26" s="31">
        <f t="shared" si="0"/>
        <v>0</v>
      </c>
      <c r="AA26" s="32">
        <f t="shared" ref="AA26:AA31" si="2">Z26/19</f>
        <v>0</v>
      </c>
      <c r="AB26" s="20">
        <v>0</v>
      </c>
    </row>
    <row r="27" spans="1:31" ht="15.75">
      <c r="A27" s="19">
        <v>24</v>
      </c>
      <c r="B27" s="20" t="s">
        <v>13</v>
      </c>
      <c r="C27" s="21" t="s">
        <v>39</v>
      </c>
      <c r="D27" s="101">
        <v>147</v>
      </c>
      <c r="E27" s="27">
        <v>105</v>
      </c>
      <c r="F27" s="101">
        <f>G27*1.4</f>
        <v>21</v>
      </c>
      <c r="G27" s="27">
        <v>15</v>
      </c>
      <c r="H27" s="101">
        <f>I27*1.4</f>
        <v>21</v>
      </c>
      <c r="I27" s="27">
        <v>15</v>
      </c>
      <c r="J27" s="27"/>
      <c r="K27" s="27">
        <v>0</v>
      </c>
      <c r="L27" s="27"/>
      <c r="M27" s="27">
        <v>0</v>
      </c>
      <c r="N27" s="27">
        <v>0</v>
      </c>
      <c r="O27" s="27">
        <v>0</v>
      </c>
      <c r="P27" s="27">
        <v>0</v>
      </c>
      <c r="Q27" s="27"/>
      <c r="R27" s="27"/>
      <c r="S27" s="27"/>
      <c r="T27" s="27"/>
      <c r="U27" s="27"/>
      <c r="V27" s="27"/>
      <c r="W27" s="27"/>
      <c r="X27" s="18"/>
      <c r="Y27" s="18"/>
      <c r="Z27" s="31">
        <f t="shared" si="0"/>
        <v>21</v>
      </c>
      <c r="AA27" s="32">
        <f t="shared" si="2"/>
        <v>1.1052631578947369</v>
      </c>
      <c r="AB27" s="20">
        <v>0</v>
      </c>
    </row>
    <row r="28" spans="1:31" ht="15.75">
      <c r="A28" s="19">
        <v>25</v>
      </c>
      <c r="B28" s="20" t="s">
        <v>13</v>
      </c>
      <c r="C28" s="21" t="s">
        <v>40</v>
      </c>
      <c r="D28" s="101">
        <v>226</v>
      </c>
      <c r="E28" s="27">
        <v>565</v>
      </c>
      <c r="F28" s="101">
        <v>226</v>
      </c>
      <c r="G28" s="27">
        <v>565</v>
      </c>
      <c r="H28" s="101">
        <v>226</v>
      </c>
      <c r="I28" s="27">
        <v>565</v>
      </c>
      <c r="J28" s="27">
        <f>K28*0.4</f>
        <v>226</v>
      </c>
      <c r="K28" s="27">
        <v>565</v>
      </c>
      <c r="L28" s="27">
        <f>M28*0.4</f>
        <v>226</v>
      </c>
      <c r="M28" s="27">
        <v>565</v>
      </c>
      <c r="N28" s="27">
        <f>O28*0.4</f>
        <v>226</v>
      </c>
      <c r="O28" s="27">
        <v>565</v>
      </c>
      <c r="P28" s="280">
        <v>226</v>
      </c>
      <c r="Q28" s="280">
        <v>565</v>
      </c>
      <c r="R28" s="280">
        <v>226</v>
      </c>
      <c r="S28" s="280">
        <v>565</v>
      </c>
      <c r="T28" s="280">
        <v>226</v>
      </c>
      <c r="U28" s="280">
        <v>565</v>
      </c>
      <c r="V28" s="280">
        <v>226</v>
      </c>
      <c r="W28" s="280">
        <v>565</v>
      </c>
      <c r="X28" s="18"/>
      <c r="Y28" s="18"/>
      <c r="Z28" s="31">
        <f t="shared" si="0"/>
        <v>226</v>
      </c>
      <c r="AA28" s="32">
        <f t="shared" si="2"/>
        <v>11.894736842105264</v>
      </c>
      <c r="AB28" s="20">
        <v>0</v>
      </c>
    </row>
    <row r="29" spans="1:31" ht="15.75">
      <c r="A29" s="19">
        <v>26</v>
      </c>
      <c r="B29" s="20" t="s">
        <v>13</v>
      </c>
      <c r="C29" s="21" t="s">
        <v>41</v>
      </c>
      <c r="D29" s="101"/>
      <c r="E29" s="27">
        <v>5730</v>
      </c>
      <c r="F29" s="101"/>
      <c r="G29" s="27">
        <v>5730</v>
      </c>
      <c r="H29" s="101"/>
      <c r="I29" s="27">
        <v>5730</v>
      </c>
      <c r="J29" s="27"/>
      <c r="K29" s="27">
        <v>5730</v>
      </c>
      <c r="L29" s="27"/>
      <c r="M29" s="27">
        <v>5730</v>
      </c>
      <c r="N29" s="27">
        <v>0</v>
      </c>
      <c r="O29" s="27">
        <v>5730</v>
      </c>
      <c r="P29" s="27"/>
      <c r="Q29" s="280">
        <v>5730</v>
      </c>
      <c r="R29" s="27"/>
      <c r="S29" s="280">
        <v>5730</v>
      </c>
      <c r="T29" s="27"/>
      <c r="U29" s="280">
        <v>5730</v>
      </c>
      <c r="V29" s="27"/>
      <c r="W29" s="280">
        <v>5730</v>
      </c>
      <c r="X29" s="18"/>
      <c r="Y29" s="18"/>
      <c r="Z29" s="31">
        <f t="shared" si="0"/>
        <v>0</v>
      </c>
      <c r="AA29" s="32">
        <f t="shared" si="2"/>
        <v>0</v>
      </c>
      <c r="AB29" s="20">
        <v>0</v>
      </c>
    </row>
    <row r="30" spans="1:31" ht="15.75">
      <c r="A30" s="19">
        <v>27</v>
      </c>
      <c r="B30" s="20" t="s">
        <v>13</v>
      </c>
      <c r="C30" s="21" t="s">
        <v>42</v>
      </c>
      <c r="D30" s="101"/>
      <c r="E30" s="27"/>
      <c r="F30" s="101"/>
      <c r="G30" s="27"/>
      <c r="H30" s="101"/>
      <c r="I30" s="27"/>
      <c r="J30" s="27"/>
      <c r="K30" s="27">
        <v>-88</v>
      </c>
      <c r="L30" s="27"/>
      <c r="M30" s="27">
        <v>-88</v>
      </c>
      <c r="N30" s="27">
        <f>O30*0.6</f>
        <v>-64.8</v>
      </c>
      <c r="O30" s="27">
        <v>-108</v>
      </c>
      <c r="P30" s="27"/>
      <c r="Q30" s="280">
        <v>-108</v>
      </c>
      <c r="R30" s="27"/>
      <c r="S30" s="280">
        <v>-108</v>
      </c>
      <c r="T30" s="27"/>
      <c r="U30" s="280">
        <v>-108</v>
      </c>
      <c r="V30" s="27"/>
      <c r="W30" s="280">
        <v>-108</v>
      </c>
      <c r="X30" s="18"/>
      <c r="Y30" s="18"/>
      <c r="Z30" s="31">
        <f t="shared" si="0"/>
        <v>0</v>
      </c>
      <c r="AA30" s="32">
        <f t="shared" si="2"/>
        <v>0</v>
      </c>
      <c r="AB30" s="20">
        <v>0</v>
      </c>
    </row>
    <row r="31" spans="1:31" ht="15.75">
      <c r="A31" s="19">
        <v>31</v>
      </c>
      <c r="B31" s="20" t="s">
        <v>13</v>
      </c>
      <c r="C31" s="21" t="s">
        <v>43</v>
      </c>
      <c r="D31" s="27"/>
      <c r="E31" s="27">
        <v>736</v>
      </c>
      <c r="F31" s="27"/>
      <c r="G31" s="27">
        <v>736</v>
      </c>
      <c r="H31" s="27"/>
      <c r="I31" s="27">
        <v>736</v>
      </c>
      <c r="J31" s="27"/>
      <c r="K31" s="27">
        <v>736</v>
      </c>
      <c r="L31" s="27"/>
      <c r="M31" s="27">
        <v>736</v>
      </c>
      <c r="N31" s="27">
        <v>0</v>
      </c>
      <c r="O31" s="27">
        <v>596</v>
      </c>
      <c r="P31" s="27"/>
      <c r="Q31" s="280">
        <v>46</v>
      </c>
      <c r="R31" s="27"/>
      <c r="S31" s="280">
        <v>46</v>
      </c>
      <c r="T31" s="27"/>
      <c r="U31" s="280">
        <v>46</v>
      </c>
      <c r="V31" s="27"/>
      <c r="W31" s="280">
        <v>46</v>
      </c>
      <c r="X31" s="18"/>
      <c r="Y31" s="18"/>
      <c r="Z31" s="31">
        <f t="shared" si="0"/>
        <v>0</v>
      </c>
      <c r="AA31" s="32">
        <f t="shared" si="2"/>
        <v>0</v>
      </c>
      <c r="AB31" s="20">
        <v>0</v>
      </c>
    </row>
    <row r="32" spans="1:31" ht="15.75">
      <c r="A32" s="20"/>
      <c r="B32" s="20"/>
      <c r="C32" s="100" t="s">
        <v>110</v>
      </c>
      <c r="D32" s="30">
        <f>D4+D5+D7+D10+D12+D13+D14+D16+D18+D19+D20+D22+D23+D24+D25+D27+D28</f>
        <v>35470.899999999994</v>
      </c>
      <c r="E32" s="30"/>
      <c r="F32" s="30">
        <f>F4+F5+F7+F10+F12+F13+F14+F16+F18+F19+F20+F22+F23+F24+F25+F27+F28</f>
        <v>35044.899999999994</v>
      </c>
      <c r="G32" s="30"/>
      <c r="H32" s="30">
        <f>H4+H5+H7+H10+H12+H13+H14+H16+H18+H19+H20+H22+H23+H24+H25+H27+H28</f>
        <v>35044.899999999994</v>
      </c>
      <c r="I32" s="30"/>
      <c r="J32" s="30">
        <f>J4+J5+J7+J10+J12+J13+J14+J16+J14+J18+J19+J20+J22+J23+J24+J25+J28</f>
        <v>33148.399999999994</v>
      </c>
      <c r="K32" s="30"/>
      <c r="L32" s="30">
        <f>L4+L5+L7+L10+L12+L13+L14+L16+L14+L18+L19+L20+L22+L23+L24+L25+L28</f>
        <v>33148.399999999994</v>
      </c>
      <c r="M32" s="30"/>
      <c r="N32" s="166">
        <f>N4+N5+N7+N10+N12+N13+N14+N16+N18+N19+N20+N22+N23+N24+N25+N28</f>
        <v>29498.399999999998</v>
      </c>
      <c r="O32" s="30">
        <f>SUM(O4:O31)</f>
        <v>5053</v>
      </c>
      <c r="P32" s="30">
        <f>P4+P5+P7+P10+P12+P13+P14+P16+P18+P19+P20+P22+P23+P24+P25+P28</f>
        <v>29498.399999999998</v>
      </c>
      <c r="Q32" s="281"/>
      <c r="R32" s="30">
        <f>R4+R5+R7+R10+R12+R13+R14+R16+R18+R19+R20+R22+R23+R24+R25+R28</f>
        <v>29498.399999999998</v>
      </c>
      <c r="S32" s="281"/>
      <c r="T32" s="30">
        <f>T4+T5+T7+T10+T12+T13+T14+T16+T18+T19+T20+T22+T23+T24+T25+T28</f>
        <v>29498.399999999998</v>
      </c>
      <c r="U32" s="281"/>
      <c r="V32" s="30">
        <f>V4+V5+V7+V10+V12+V13+V14+V16+V18+V19+V20+V22+V23+V24+V25+V28</f>
        <v>29498.399999999998</v>
      </c>
      <c r="W32" s="281"/>
      <c r="X32" s="18"/>
      <c r="Y32" s="18"/>
      <c r="Z32" s="31">
        <f t="shared" si="0"/>
        <v>35044.899999999994</v>
      </c>
      <c r="AA32" s="32"/>
      <c r="AB32" s="28"/>
    </row>
    <row r="33" spans="1:46">
      <c r="A33" s="28"/>
      <c r="B33" s="56"/>
      <c r="C33" s="57"/>
      <c r="D33" s="57"/>
      <c r="E33" s="57"/>
      <c r="F33" s="57"/>
      <c r="G33" s="57"/>
      <c r="H33" s="53"/>
      <c r="I33" s="20"/>
      <c r="J33" s="20"/>
      <c r="K33" s="20"/>
      <c r="L33" s="20"/>
      <c r="M33" s="20"/>
      <c r="N33" s="30">
        <f>N6+N8+N11+N21</f>
        <v>-18281.2</v>
      </c>
      <c r="O33" s="20"/>
      <c r="P33" s="30">
        <f>P6+P8+P9+P11+P21</f>
        <v>-18482.2</v>
      </c>
      <c r="Q33" s="20"/>
      <c r="R33" s="30">
        <f>R6+R8+R9+R11+R21</f>
        <v>-18482.2</v>
      </c>
      <c r="S33" s="20"/>
      <c r="T33" s="166">
        <f>T6+T8+T9+T11+T21</f>
        <v>-18482.2</v>
      </c>
      <c r="U33" s="20"/>
      <c r="V33" s="166">
        <f>V6+V8+V9+V11+V21</f>
        <v>-18482.2</v>
      </c>
      <c r="W33" s="20"/>
      <c r="X33" s="20"/>
      <c r="Y33" s="20"/>
      <c r="Z33" s="31"/>
      <c r="AA33" s="28"/>
      <c r="AB33" s="28"/>
    </row>
    <row r="34" spans="1:46">
      <c r="I34"/>
      <c r="J34"/>
      <c r="K34"/>
      <c r="L34"/>
      <c r="M34"/>
      <c r="N34" s="240">
        <f>SUM(N32:N33)</f>
        <v>11217.199999999997</v>
      </c>
      <c r="O34"/>
      <c r="P34" s="43">
        <f>SUM(P32:P33)</f>
        <v>11016.199999999997</v>
      </c>
      <c r="Q34"/>
      <c r="R34" s="43">
        <f>SUM(R32:R33)</f>
        <v>11016.199999999997</v>
      </c>
      <c r="S34"/>
      <c r="T34" s="43">
        <f>SUM(T32:T33)</f>
        <v>11016.199999999997</v>
      </c>
      <c r="U34"/>
      <c r="V34" s="43">
        <f>SUM(V32:V33)</f>
        <v>11016.199999999997</v>
      </c>
      <c r="W34"/>
      <c r="X34" s="35"/>
      <c r="Y34" s="35"/>
      <c r="Z34" s="36"/>
      <c r="AT34" s="45"/>
    </row>
    <row r="35" spans="1:46">
      <c r="I35"/>
      <c r="J35"/>
      <c r="K35"/>
      <c r="L35"/>
      <c r="M35"/>
      <c r="N35"/>
      <c r="O35" s="43"/>
      <c r="P35" s="43"/>
      <c r="Q35" s="43"/>
      <c r="R35" s="43"/>
      <c r="S35" s="43"/>
      <c r="T35" s="43"/>
      <c r="U35" s="43"/>
      <c r="V35" s="43"/>
      <c r="W35" s="43"/>
      <c r="Z35" s="58"/>
    </row>
    <row r="36" spans="1:46"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 s="58"/>
      <c r="Y36" s="58"/>
      <c r="Z36" s="58"/>
    </row>
    <row r="37" spans="1:46"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46"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 s="58"/>
      <c r="Y38" s="58"/>
    </row>
    <row r="39" spans="1:46"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46"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46"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46"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46"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46"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46"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46"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46"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46"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</sheetData>
  <mergeCells count="11">
    <mergeCell ref="A1:AB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25" right="0.25" top="0.75" bottom="0.75" header="0.3" footer="0.3"/>
  <pageSetup paperSize="9" scale="87" fitToHeight="0" orientation="landscape" r:id="rId1"/>
  <ignoredErrors>
    <ignoredError sqref="AA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35"/>
  <sheetViews>
    <sheetView topLeftCell="C1" zoomScale="78" zoomScaleNormal="78" workbookViewId="0">
      <selection activeCell="V5" sqref="V5:V32"/>
    </sheetView>
  </sheetViews>
  <sheetFormatPr defaultColWidth="9.140625" defaultRowHeight="15"/>
  <cols>
    <col min="1" max="1" width="5" customWidth="1"/>
    <col min="2" max="2" width="18.5703125" customWidth="1"/>
    <col min="3" max="3" width="26" bestFit="1" customWidth="1"/>
    <col min="4" max="4" width="13.42578125" bestFit="1" customWidth="1"/>
    <col min="5" max="5" width="12.7109375" hidden="1" customWidth="1"/>
    <col min="6" max="6" width="14" hidden="1" customWidth="1"/>
    <col min="7" max="19" width="13.85546875" hidden="1" customWidth="1"/>
    <col min="20" max="23" width="13.85546875" customWidth="1"/>
    <col min="24" max="24" width="13.28515625" bestFit="1" customWidth="1"/>
    <col min="25" max="25" width="12.7109375" customWidth="1"/>
    <col min="26" max="26" width="8.28515625" bestFit="1" customWidth="1"/>
    <col min="27" max="27" width="6.7109375" customWidth="1"/>
    <col min="28" max="28" width="10.28515625" customWidth="1"/>
  </cols>
  <sheetData>
    <row r="2" spans="1:28" ht="21">
      <c r="A2" s="288" t="s">
        <v>147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</row>
    <row r="3" spans="1:28" ht="44.25" customHeight="1">
      <c r="A3" s="108"/>
      <c r="B3" s="108"/>
      <c r="C3" s="108"/>
      <c r="D3" s="291" t="s">
        <v>123</v>
      </c>
      <c r="E3" s="292"/>
      <c r="F3" s="291" t="s">
        <v>146</v>
      </c>
      <c r="G3" s="292"/>
      <c r="H3" s="289" t="s">
        <v>145</v>
      </c>
      <c r="I3" s="290"/>
      <c r="J3" s="289" t="s">
        <v>161</v>
      </c>
      <c r="K3" s="290"/>
      <c r="L3" s="289" t="s">
        <v>164</v>
      </c>
      <c r="M3" s="290"/>
      <c r="N3" s="289" t="s">
        <v>171</v>
      </c>
      <c r="O3" s="290"/>
      <c r="P3" s="289" t="s">
        <v>232</v>
      </c>
      <c r="Q3" s="290"/>
      <c r="R3" s="289" t="s">
        <v>240</v>
      </c>
      <c r="S3" s="290"/>
      <c r="T3" s="289" t="s">
        <v>243</v>
      </c>
      <c r="U3" s="290"/>
      <c r="V3" s="289" t="s">
        <v>247</v>
      </c>
      <c r="W3" s="290"/>
      <c r="X3" s="108"/>
      <c r="Y3" s="108"/>
      <c r="Z3" s="108"/>
      <c r="AA3" s="108"/>
      <c r="AB3" s="108"/>
    </row>
    <row r="4" spans="1:28" ht="21" customHeight="1">
      <c r="A4" s="17" t="s">
        <v>1</v>
      </c>
      <c r="B4" s="17" t="s">
        <v>2</v>
      </c>
      <c r="C4" s="17" t="s">
        <v>3</v>
      </c>
      <c r="D4" s="163" t="s">
        <v>4</v>
      </c>
      <c r="E4" s="163" t="s">
        <v>109</v>
      </c>
      <c r="F4" s="163" t="s">
        <v>4</v>
      </c>
      <c r="G4" s="163" t="s">
        <v>109</v>
      </c>
      <c r="H4" s="17" t="s">
        <v>4</v>
      </c>
      <c r="I4" s="17" t="s">
        <v>109</v>
      </c>
      <c r="J4" s="17" t="s">
        <v>4</v>
      </c>
      <c r="K4" s="17" t="s">
        <v>109</v>
      </c>
      <c r="L4" s="17" t="s">
        <v>4</v>
      </c>
      <c r="M4" s="17" t="s">
        <v>109</v>
      </c>
      <c r="N4" s="17" t="s">
        <v>4</v>
      </c>
      <c r="O4" s="17" t="s">
        <v>109</v>
      </c>
      <c r="P4" s="17" t="s">
        <v>4</v>
      </c>
      <c r="Q4" s="17" t="s">
        <v>109</v>
      </c>
      <c r="R4" s="17" t="s">
        <v>4</v>
      </c>
      <c r="S4" s="17" t="s">
        <v>109</v>
      </c>
      <c r="T4" s="17" t="s">
        <v>4</v>
      </c>
      <c r="U4" s="17" t="s">
        <v>109</v>
      </c>
      <c r="V4" s="17" t="s">
        <v>4</v>
      </c>
      <c r="W4" s="17" t="s">
        <v>109</v>
      </c>
      <c r="X4" s="18" t="s">
        <v>125</v>
      </c>
      <c r="Y4" s="18" t="s">
        <v>8</v>
      </c>
      <c r="Z4" s="17" t="s">
        <v>10</v>
      </c>
      <c r="AA4" s="17" t="s">
        <v>11</v>
      </c>
      <c r="AB4" s="20" t="s">
        <v>12</v>
      </c>
    </row>
    <row r="5" spans="1:28" ht="15.75">
      <c r="A5" s="19">
        <v>1</v>
      </c>
      <c r="B5" s="20" t="s">
        <v>46</v>
      </c>
      <c r="C5" s="21" t="s">
        <v>14</v>
      </c>
      <c r="D5" s="99">
        <v>27213</v>
      </c>
      <c r="E5" s="99"/>
      <c r="F5" s="99">
        <v>24780</v>
      </c>
      <c r="G5" s="99">
        <v>0</v>
      </c>
      <c r="H5" s="20">
        <v>25961</v>
      </c>
      <c r="I5" s="20"/>
      <c r="J5" s="20">
        <v>56758</v>
      </c>
      <c r="K5" s="20">
        <v>0</v>
      </c>
      <c r="L5" s="20">
        <v>56758</v>
      </c>
      <c r="M5" s="20">
        <v>0</v>
      </c>
      <c r="N5" s="20">
        <v>56758</v>
      </c>
      <c r="O5" s="20">
        <v>0</v>
      </c>
      <c r="P5" s="20">
        <v>59297</v>
      </c>
      <c r="Q5" s="20">
        <v>0</v>
      </c>
      <c r="R5" s="20">
        <v>59297</v>
      </c>
      <c r="S5" s="20">
        <v>0</v>
      </c>
      <c r="T5" s="20">
        <v>59297</v>
      </c>
      <c r="U5" s="20">
        <v>0</v>
      </c>
      <c r="V5" s="20">
        <v>52292</v>
      </c>
      <c r="W5" s="20">
        <v>0</v>
      </c>
      <c r="X5" s="18">
        <v>0</v>
      </c>
      <c r="Y5" s="22">
        <f>T5-V5</f>
        <v>7005</v>
      </c>
      <c r="Z5" s="31"/>
      <c r="AA5" s="20"/>
      <c r="AB5" s="28"/>
    </row>
    <row r="6" spans="1:28" ht="15.75">
      <c r="A6" s="19">
        <v>2</v>
      </c>
      <c r="B6" s="20" t="s">
        <v>46</v>
      </c>
      <c r="C6" s="21" t="s">
        <v>15</v>
      </c>
      <c r="D6" s="99">
        <v>0</v>
      </c>
      <c r="E6" s="99"/>
      <c r="F6" s="102">
        <v>3762</v>
      </c>
      <c r="G6" s="102">
        <v>198</v>
      </c>
      <c r="H6" s="19">
        <v>23199</v>
      </c>
      <c r="I6" s="19">
        <v>1221</v>
      </c>
      <c r="J6" s="19">
        <v>16188</v>
      </c>
      <c r="K6" s="19">
        <v>852</v>
      </c>
      <c r="L6" s="19">
        <v>16188</v>
      </c>
      <c r="M6" s="19">
        <v>852</v>
      </c>
      <c r="N6" s="19">
        <v>14421</v>
      </c>
      <c r="O6" s="19">
        <v>759</v>
      </c>
      <c r="P6" s="19">
        <v>13889</v>
      </c>
      <c r="Q6" s="19">
        <v>731</v>
      </c>
      <c r="R6" s="19">
        <v>13889</v>
      </c>
      <c r="S6" s="19">
        <v>731</v>
      </c>
      <c r="T6" s="19">
        <v>13889</v>
      </c>
      <c r="U6" s="19">
        <v>731</v>
      </c>
      <c r="V6" s="19">
        <v>9728</v>
      </c>
      <c r="W6" s="19">
        <v>512</v>
      </c>
      <c r="X6" s="18">
        <v>0</v>
      </c>
      <c r="Y6" s="22">
        <f>T6-V6</f>
        <v>4161</v>
      </c>
      <c r="Z6" s="31"/>
      <c r="AA6" s="32">
        <f>Z6/19</f>
        <v>0</v>
      </c>
      <c r="AB6" s="20" t="e">
        <f t="shared" ref="AB6:AB12" si="0">Z6/AA6</f>
        <v>#DIV/0!</v>
      </c>
    </row>
    <row r="7" spans="1:28" ht="15.75">
      <c r="A7" s="19">
        <v>3</v>
      </c>
      <c r="B7" s="20" t="s">
        <v>46</v>
      </c>
      <c r="C7" s="21" t="s">
        <v>16</v>
      </c>
      <c r="D7" s="99">
        <v>0</v>
      </c>
      <c r="E7" s="99"/>
      <c r="F7" s="102">
        <v>74</v>
      </c>
      <c r="G7" s="102">
        <v>0</v>
      </c>
      <c r="H7" s="19">
        <v>4625</v>
      </c>
      <c r="I7" s="19">
        <v>125</v>
      </c>
      <c r="J7" s="19">
        <v>4773</v>
      </c>
      <c r="K7" s="19">
        <v>129</v>
      </c>
      <c r="L7" s="19">
        <v>4773</v>
      </c>
      <c r="M7" s="19">
        <v>129</v>
      </c>
      <c r="N7" s="19">
        <v>4773</v>
      </c>
      <c r="O7" s="19">
        <v>129</v>
      </c>
      <c r="P7" s="19">
        <v>5642.5</v>
      </c>
      <c r="Q7" s="19">
        <v>152.5</v>
      </c>
      <c r="R7" s="19">
        <v>5642.5</v>
      </c>
      <c r="S7" s="19">
        <v>152.5</v>
      </c>
      <c r="T7" s="19">
        <v>5642.5</v>
      </c>
      <c r="U7" s="19">
        <v>152.5</v>
      </c>
      <c r="V7" s="19">
        <v>5642.5</v>
      </c>
      <c r="W7" s="19">
        <v>152.5</v>
      </c>
      <c r="X7" s="18">
        <f t="shared" ref="X7:X8" si="1">T7-V7</f>
        <v>0</v>
      </c>
      <c r="Y7" s="22">
        <f t="shared" ref="Y7:Y33" si="2">T7-V7</f>
        <v>0</v>
      </c>
      <c r="Z7" s="31"/>
      <c r="AA7" s="32">
        <f>Z7/37</f>
        <v>0</v>
      </c>
      <c r="AB7" s="20" t="e">
        <f t="shared" si="0"/>
        <v>#DIV/0!</v>
      </c>
    </row>
    <row r="8" spans="1:28" ht="15.75">
      <c r="A8" s="19">
        <v>4</v>
      </c>
      <c r="B8" s="20" t="s">
        <v>46</v>
      </c>
      <c r="C8" s="21" t="s">
        <v>17</v>
      </c>
      <c r="D8" s="99">
        <v>0</v>
      </c>
      <c r="E8" s="99"/>
      <c r="F8" s="102">
        <v>0</v>
      </c>
      <c r="G8" s="102">
        <v>0</v>
      </c>
      <c r="H8" s="19">
        <v>1360</v>
      </c>
      <c r="I8" s="19">
        <v>80</v>
      </c>
      <c r="J8" s="19">
        <v>1360</v>
      </c>
      <c r="K8" s="19">
        <v>80</v>
      </c>
      <c r="L8" s="19">
        <v>1360</v>
      </c>
      <c r="M8" s="19">
        <v>80</v>
      </c>
      <c r="N8" s="19">
        <v>1360</v>
      </c>
      <c r="O8" s="19">
        <v>80</v>
      </c>
      <c r="P8" s="19">
        <v>1564</v>
      </c>
      <c r="Q8" s="19">
        <v>92</v>
      </c>
      <c r="R8" s="19">
        <v>1564</v>
      </c>
      <c r="S8" s="19">
        <v>92</v>
      </c>
      <c r="T8" s="19">
        <v>1564</v>
      </c>
      <c r="U8" s="19">
        <v>92</v>
      </c>
      <c r="V8" s="19">
        <v>1564</v>
      </c>
      <c r="W8" s="19">
        <v>92</v>
      </c>
      <c r="X8" s="18">
        <f t="shared" si="1"/>
        <v>0</v>
      </c>
      <c r="Y8" s="22">
        <f t="shared" si="2"/>
        <v>0</v>
      </c>
      <c r="Z8" s="31"/>
      <c r="AA8" s="32">
        <f>Z8/17</f>
        <v>0</v>
      </c>
      <c r="AB8" s="20" t="e">
        <f t="shared" si="0"/>
        <v>#DIV/0!</v>
      </c>
    </row>
    <row r="9" spans="1:28" ht="15.75">
      <c r="A9" s="19">
        <v>5</v>
      </c>
      <c r="B9" s="20" t="s">
        <v>46</v>
      </c>
      <c r="C9" s="21" t="s">
        <v>18</v>
      </c>
      <c r="D9" s="99">
        <v>0</v>
      </c>
      <c r="E9" s="99"/>
      <c r="F9" s="102">
        <v>0</v>
      </c>
      <c r="G9" s="102">
        <v>0</v>
      </c>
      <c r="H9" s="19">
        <v>3010</v>
      </c>
      <c r="I9" s="19">
        <v>602</v>
      </c>
      <c r="J9" s="19">
        <v>4870</v>
      </c>
      <c r="K9" s="19">
        <v>974</v>
      </c>
      <c r="L9" s="19">
        <v>4870</v>
      </c>
      <c r="M9" s="19">
        <v>974</v>
      </c>
      <c r="N9" s="19">
        <v>4870</v>
      </c>
      <c r="O9" s="19">
        <v>974</v>
      </c>
      <c r="P9" s="19">
        <v>5655</v>
      </c>
      <c r="Q9" s="19">
        <v>1131</v>
      </c>
      <c r="R9" s="19">
        <v>5655</v>
      </c>
      <c r="S9" s="19">
        <v>1131</v>
      </c>
      <c r="T9" s="19">
        <v>5655</v>
      </c>
      <c r="U9" s="19">
        <v>1131</v>
      </c>
      <c r="V9" s="19">
        <v>5655</v>
      </c>
      <c r="W9" s="19">
        <v>1131</v>
      </c>
      <c r="X9" s="18">
        <v>0</v>
      </c>
      <c r="Y9" s="22">
        <f t="shared" si="2"/>
        <v>0</v>
      </c>
      <c r="Z9" s="31"/>
      <c r="AA9" s="32">
        <f>Z9/5</f>
        <v>0</v>
      </c>
      <c r="AB9" s="20" t="e">
        <f t="shared" si="0"/>
        <v>#DIV/0!</v>
      </c>
    </row>
    <row r="10" spans="1:28" ht="15.75">
      <c r="A10" s="19">
        <v>6</v>
      </c>
      <c r="B10" s="20" t="s">
        <v>46</v>
      </c>
      <c r="C10" s="21" t="s">
        <v>19</v>
      </c>
      <c r="D10" s="99">
        <v>0</v>
      </c>
      <c r="E10" s="99"/>
      <c r="F10" s="102">
        <v>0</v>
      </c>
      <c r="G10" s="102">
        <v>0</v>
      </c>
      <c r="H10" s="19">
        <v>192</v>
      </c>
      <c r="I10" s="19">
        <v>320</v>
      </c>
      <c r="J10" s="19">
        <v>552</v>
      </c>
      <c r="K10" s="19">
        <v>920</v>
      </c>
      <c r="L10" s="19">
        <v>552</v>
      </c>
      <c r="M10" s="19">
        <v>920</v>
      </c>
      <c r="N10" s="19">
        <v>552</v>
      </c>
      <c r="O10" s="19">
        <v>920</v>
      </c>
      <c r="P10" s="19">
        <v>750</v>
      </c>
      <c r="Q10" s="19">
        <v>1250</v>
      </c>
      <c r="R10" s="19">
        <v>750</v>
      </c>
      <c r="S10" s="19">
        <v>1250</v>
      </c>
      <c r="T10" s="19">
        <v>750</v>
      </c>
      <c r="U10" s="19">
        <v>1250</v>
      </c>
      <c r="V10" s="19">
        <v>748.2</v>
      </c>
      <c r="W10" s="19">
        <v>1247</v>
      </c>
      <c r="X10" s="18">
        <v>0</v>
      </c>
      <c r="Y10" s="22">
        <f t="shared" si="2"/>
        <v>1.7999999999999545</v>
      </c>
      <c r="Z10" s="31"/>
      <c r="AA10" s="32">
        <f>Z10/0.6</f>
        <v>0</v>
      </c>
      <c r="AB10" s="20" t="e">
        <f t="shared" si="0"/>
        <v>#DIV/0!</v>
      </c>
    </row>
    <row r="11" spans="1:28" ht="15.75">
      <c r="A11" s="19">
        <v>7</v>
      </c>
      <c r="B11" s="20" t="s">
        <v>46</v>
      </c>
      <c r="C11" s="24" t="s">
        <v>20</v>
      </c>
      <c r="D11" s="99">
        <v>665</v>
      </c>
      <c r="E11" s="99"/>
      <c r="F11" s="102">
        <v>665</v>
      </c>
      <c r="G11" s="102">
        <v>133</v>
      </c>
      <c r="H11" s="19">
        <v>2940</v>
      </c>
      <c r="I11" s="19">
        <v>588</v>
      </c>
      <c r="J11" s="19">
        <v>3940</v>
      </c>
      <c r="K11" s="19">
        <v>788</v>
      </c>
      <c r="L11" s="19">
        <v>3940</v>
      </c>
      <c r="M11" s="19">
        <v>788</v>
      </c>
      <c r="N11" s="19">
        <v>3940</v>
      </c>
      <c r="O11" s="19">
        <v>788</v>
      </c>
      <c r="P11" s="19">
        <v>4940</v>
      </c>
      <c r="Q11" s="19">
        <v>988</v>
      </c>
      <c r="R11" s="19">
        <v>4940</v>
      </c>
      <c r="S11" s="19">
        <v>988</v>
      </c>
      <c r="T11" s="19">
        <v>4940</v>
      </c>
      <c r="U11" s="19">
        <v>988</v>
      </c>
      <c r="V11" s="19">
        <v>4210</v>
      </c>
      <c r="W11" s="19">
        <v>842</v>
      </c>
      <c r="X11" s="18">
        <v>0</v>
      </c>
      <c r="Y11" s="22">
        <f t="shared" si="2"/>
        <v>730</v>
      </c>
      <c r="Z11" s="31"/>
      <c r="AA11" s="32">
        <f>Z11/5</f>
        <v>0</v>
      </c>
      <c r="AB11" s="20" t="e">
        <f t="shared" si="0"/>
        <v>#DIV/0!</v>
      </c>
    </row>
    <row r="12" spans="1:28" ht="15.75">
      <c r="A12" s="19">
        <v>8</v>
      </c>
      <c r="B12" s="20" t="s">
        <v>46</v>
      </c>
      <c r="C12" s="24" t="s">
        <v>22</v>
      </c>
      <c r="D12" s="99">
        <v>850</v>
      </c>
      <c r="E12" s="99"/>
      <c r="F12" s="102">
        <v>2080</v>
      </c>
      <c r="G12" s="102">
        <v>416</v>
      </c>
      <c r="H12" s="19">
        <v>4355</v>
      </c>
      <c r="I12" s="19">
        <v>871</v>
      </c>
      <c r="J12" s="19">
        <v>10155</v>
      </c>
      <c r="K12" s="19">
        <v>2031</v>
      </c>
      <c r="L12" s="19">
        <v>10155</v>
      </c>
      <c r="M12" s="19">
        <v>2031</v>
      </c>
      <c r="N12" s="19">
        <v>10155</v>
      </c>
      <c r="O12" s="19">
        <v>2031</v>
      </c>
      <c r="P12" s="19">
        <v>15985</v>
      </c>
      <c r="Q12" s="19">
        <v>3197</v>
      </c>
      <c r="R12" s="19">
        <v>15985</v>
      </c>
      <c r="S12" s="19">
        <v>3197</v>
      </c>
      <c r="T12" s="19">
        <v>15985</v>
      </c>
      <c r="U12" s="19">
        <v>3197</v>
      </c>
      <c r="V12" s="19">
        <v>15635</v>
      </c>
      <c r="W12" s="19">
        <v>3127</v>
      </c>
      <c r="X12" s="18">
        <v>0</v>
      </c>
      <c r="Y12" s="22">
        <f t="shared" si="2"/>
        <v>350</v>
      </c>
      <c r="Z12" s="31"/>
      <c r="AA12" s="32">
        <f>Z12/5</f>
        <v>0</v>
      </c>
      <c r="AB12" s="20" t="e">
        <f t="shared" si="0"/>
        <v>#DIV/0!</v>
      </c>
    </row>
    <row r="13" spans="1:28" ht="15.75">
      <c r="A13" s="19">
        <v>9</v>
      </c>
      <c r="B13" s="20" t="s">
        <v>46</v>
      </c>
      <c r="C13" s="24" t="s">
        <v>23</v>
      </c>
      <c r="D13" s="99">
        <v>0</v>
      </c>
      <c r="E13" s="99"/>
      <c r="F13" s="102">
        <v>0</v>
      </c>
      <c r="G13" s="102">
        <v>0</v>
      </c>
      <c r="H13" s="19">
        <v>0</v>
      </c>
      <c r="I13" s="19">
        <v>0</v>
      </c>
      <c r="J13" s="19">
        <v>944</v>
      </c>
      <c r="K13" s="19">
        <v>1180</v>
      </c>
      <c r="L13" s="19">
        <v>944</v>
      </c>
      <c r="M13" s="19">
        <v>1180</v>
      </c>
      <c r="N13" s="19">
        <v>1064</v>
      </c>
      <c r="O13" s="19">
        <v>1330</v>
      </c>
      <c r="P13" s="19">
        <v>1783.2</v>
      </c>
      <c r="Q13" s="19">
        <v>2229</v>
      </c>
      <c r="R13" s="19">
        <v>1783.2</v>
      </c>
      <c r="S13" s="19">
        <v>2229</v>
      </c>
      <c r="T13" s="19">
        <v>1783.2</v>
      </c>
      <c r="U13" s="19">
        <v>2229</v>
      </c>
      <c r="V13" s="19">
        <v>1783.2</v>
      </c>
      <c r="W13" s="19">
        <v>2229</v>
      </c>
      <c r="X13" s="18">
        <v>0</v>
      </c>
      <c r="Y13" s="22">
        <f t="shared" si="2"/>
        <v>0</v>
      </c>
      <c r="Z13" s="31"/>
      <c r="AA13" s="32">
        <f>Z13/0.8</f>
        <v>0</v>
      </c>
      <c r="AB13" s="20" t="e">
        <f>Z13/AA13</f>
        <v>#DIV/0!</v>
      </c>
    </row>
    <row r="14" spans="1:28" ht="15.75">
      <c r="A14" s="19">
        <v>10</v>
      </c>
      <c r="B14" s="20" t="s">
        <v>46</v>
      </c>
      <c r="C14" s="24" t="s">
        <v>25</v>
      </c>
      <c r="D14" s="99">
        <v>0</v>
      </c>
      <c r="E14" s="99"/>
      <c r="F14" s="102">
        <v>0</v>
      </c>
      <c r="G14" s="102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80</v>
      </c>
      <c r="Q14" s="19">
        <v>0</v>
      </c>
      <c r="R14" s="19">
        <v>80</v>
      </c>
      <c r="S14" s="19">
        <v>0</v>
      </c>
      <c r="T14" s="19">
        <v>80</v>
      </c>
      <c r="U14" s="19">
        <v>0</v>
      </c>
      <c r="V14" s="19">
        <v>80</v>
      </c>
      <c r="W14" s="19">
        <v>0</v>
      </c>
      <c r="X14" s="18">
        <v>0</v>
      </c>
      <c r="Y14" s="22">
        <f t="shared" si="2"/>
        <v>0</v>
      </c>
      <c r="Z14" s="31"/>
      <c r="AA14" s="32">
        <v>0</v>
      </c>
      <c r="AB14" s="20">
        <v>0</v>
      </c>
    </row>
    <row r="15" spans="1:28" ht="15.75">
      <c r="A15" s="19">
        <v>11</v>
      </c>
      <c r="B15" s="20" t="s">
        <v>46</v>
      </c>
      <c r="C15" s="24" t="s">
        <v>26</v>
      </c>
      <c r="D15" s="99">
        <v>1949</v>
      </c>
      <c r="E15" s="99"/>
      <c r="F15" s="102">
        <v>2267</v>
      </c>
      <c r="G15" s="102">
        <v>0</v>
      </c>
      <c r="H15" s="19">
        <v>4349</v>
      </c>
      <c r="I15" s="19">
        <v>0</v>
      </c>
      <c r="J15" s="19">
        <v>5485</v>
      </c>
      <c r="K15" s="19">
        <v>0</v>
      </c>
      <c r="L15" s="19">
        <v>5485</v>
      </c>
      <c r="M15" s="19">
        <v>0</v>
      </c>
      <c r="N15" s="19">
        <v>5485</v>
      </c>
      <c r="O15" s="19">
        <v>0</v>
      </c>
      <c r="P15" s="19">
        <v>7129</v>
      </c>
      <c r="Q15" s="19">
        <v>0</v>
      </c>
      <c r="R15" s="19">
        <v>7129</v>
      </c>
      <c r="S15" s="19">
        <v>0</v>
      </c>
      <c r="T15" s="19">
        <v>7129</v>
      </c>
      <c r="U15" s="19">
        <v>0</v>
      </c>
      <c r="V15" s="19">
        <v>7129</v>
      </c>
      <c r="W15" s="19">
        <v>0</v>
      </c>
      <c r="X15" s="18">
        <v>0</v>
      </c>
      <c r="Y15" s="22">
        <f t="shared" si="2"/>
        <v>0</v>
      </c>
      <c r="Z15" s="31"/>
      <c r="AA15" s="32">
        <v>0</v>
      </c>
      <c r="AB15" s="20">
        <v>0</v>
      </c>
    </row>
    <row r="16" spans="1:28" ht="15.75">
      <c r="A16" s="19">
        <v>12</v>
      </c>
      <c r="B16" s="20" t="s">
        <v>46</v>
      </c>
      <c r="C16" s="21" t="s">
        <v>27</v>
      </c>
      <c r="D16" s="99">
        <v>0</v>
      </c>
      <c r="E16" s="99"/>
      <c r="F16" s="102">
        <v>0</v>
      </c>
      <c r="G16" s="102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/>
      <c r="S16" s="19">
        <v>0</v>
      </c>
      <c r="T16" s="19"/>
      <c r="U16" s="19">
        <v>0</v>
      </c>
      <c r="V16" s="19">
        <v>0</v>
      </c>
      <c r="W16" s="19">
        <v>0</v>
      </c>
      <c r="X16" s="18">
        <v>0</v>
      </c>
      <c r="Y16" s="22">
        <f t="shared" si="2"/>
        <v>0</v>
      </c>
      <c r="Z16" s="31"/>
      <c r="AA16" s="32">
        <v>0</v>
      </c>
      <c r="AB16" s="20">
        <v>0</v>
      </c>
    </row>
    <row r="17" spans="1:28" ht="15.75">
      <c r="A17" s="19">
        <v>13</v>
      </c>
      <c r="B17" s="20" t="s">
        <v>46</v>
      </c>
      <c r="C17" s="25" t="s">
        <v>28</v>
      </c>
      <c r="D17" s="99">
        <v>1666</v>
      </c>
      <c r="E17" s="99"/>
      <c r="F17" s="102">
        <v>1666</v>
      </c>
      <c r="G17" s="102">
        <v>98</v>
      </c>
      <c r="H17" s="19">
        <v>8636</v>
      </c>
      <c r="I17" s="19">
        <v>508</v>
      </c>
      <c r="J17" s="19">
        <v>14484</v>
      </c>
      <c r="K17" s="19">
        <v>852</v>
      </c>
      <c r="L17" s="19">
        <v>14484</v>
      </c>
      <c r="M17" s="19">
        <v>852</v>
      </c>
      <c r="N17" s="19">
        <v>11934</v>
      </c>
      <c r="O17" s="19">
        <v>702</v>
      </c>
      <c r="P17" s="19">
        <v>12189</v>
      </c>
      <c r="Q17" s="19">
        <v>717</v>
      </c>
      <c r="R17" s="19">
        <v>12189</v>
      </c>
      <c r="S17" s="19">
        <v>717</v>
      </c>
      <c r="T17" s="19">
        <v>12189</v>
      </c>
      <c r="U17" s="19">
        <v>717</v>
      </c>
      <c r="V17" s="19">
        <v>12189</v>
      </c>
      <c r="W17" s="19">
        <v>717</v>
      </c>
      <c r="X17" s="18">
        <v>0</v>
      </c>
      <c r="Y17" s="22">
        <f t="shared" si="2"/>
        <v>0</v>
      </c>
      <c r="Z17" s="31"/>
      <c r="AA17" s="32">
        <f>Z17/17</f>
        <v>0</v>
      </c>
      <c r="AB17" s="20" t="e">
        <f>Z17/AA17</f>
        <v>#DIV/0!</v>
      </c>
    </row>
    <row r="18" spans="1:28" ht="15.75">
      <c r="A18" s="19">
        <v>14</v>
      </c>
      <c r="B18" s="20" t="s">
        <v>46</v>
      </c>
      <c r="C18" s="25" t="s">
        <v>29</v>
      </c>
      <c r="D18" s="99">
        <v>0</v>
      </c>
      <c r="E18" s="99"/>
      <c r="F18" s="102">
        <v>0</v>
      </c>
      <c r="G18" s="102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8">
        <v>0</v>
      </c>
      <c r="Y18" s="22">
        <f t="shared" si="2"/>
        <v>0</v>
      </c>
      <c r="Z18" s="31"/>
      <c r="AA18" s="32">
        <f>Z18/19</f>
        <v>0</v>
      </c>
      <c r="AB18" s="20">
        <v>0</v>
      </c>
    </row>
    <row r="19" spans="1:28" ht="15.75">
      <c r="A19" s="19">
        <v>15</v>
      </c>
      <c r="B19" s="20" t="s">
        <v>46</v>
      </c>
      <c r="C19" s="25" t="s">
        <v>30</v>
      </c>
      <c r="D19" s="99">
        <v>9451</v>
      </c>
      <c r="E19" s="99"/>
      <c r="F19" s="102">
        <v>9281</v>
      </c>
      <c r="G19" s="102">
        <v>0</v>
      </c>
      <c r="H19" s="19">
        <v>21736</v>
      </c>
      <c r="I19" s="19">
        <v>0</v>
      </c>
      <c r="J19" s="19">
        <v>28423</v>
      </c>
      <c r="K19" s="19">
        <v>0</v>
      </c>
      <c r="L19" s="19">
        <v>28423</v>
      </c>
      <c r="M19" s="19">
        <v>0</v>
      </c>
      <c r="N19" s="19">
        <v>30003</v>
      </c>
      <c r="O19" s="19">
        <v>0</v>
      </c>
      <c r="P19" s="19">
        <v>32318</v>
      </c>
      <c r="Q19" s="19">
        <v>0</v>
      </c>
      <c r="R19" s="19">
        <v>32318</v>
      </c>
      <c r="S19" s="19">
        <v>0</v>
      </c>
      <c r="T19" s="19">
        <v>32318</v>
      </c>
      <c r="U19" s="19">
        <v>0</v>
      </c>
      <c r="V19" s="19">
        <v>32318</v>
      </c>
      <c r="W19" s="19">
        <v>0</v>
      </c>
      <c r="X19" s="18">
        <v>0</v>
      </c>
      <c r="Y19" s="22">
        <f t="shared" si="2"/>
        <v>0</v>
      </c>
      <c r="Z19" s="31"/>
      <c r="AA19" s="32">
        <v>0</v>
      </c>
      <c r="AB19" s="20">
        <v>0</v>
      </c>
    </row>
    <row r="20" spans="1:28" ht="15.75">
      <c r="A20" s="19">
        <v>16</v>
      </c>
      <c r="B20" s="20" t="s">
        <v>46</v>
      </c>
      <c r="C20" s="25" t="s">
        <v>31</v>
      </c>
      <c r="D20" s="99">
        <v>2852</v>
      </c>
      <c r="E20" s="99"/>
      <c r="F20" s="102">
        <v>4332</v>
      </c>
      <c r="G20" s="102">
        <v>0</v>
      </c>
      <c r="H20" s="19">
        <v>10547</v>
      </c>
      <c r="I20" s="19">
        <v>0</v>
      </c>
      <c r="J20" s="19">
        <v>11490</v>
      </c>
      <c r="K20" s="19">
        <v>0</v>
      </c>
      <c r="L20" s="19">
        <v>11490</v>
      </c>
      <c r="M20" s="19">
        <v>0</v>
      </c>
      <c r="N20" s="19">
        <v>11390</v>
      </c>
      <c r="O20" s="19">
        <v>0</v>
      </c>
      <c r="P20" s="19">
        <v>12145</v>
      </c>
      <c r="Q20" s="19">
        <v>0</v>
      </c>
      <c r="R20" s="19">
        <v>12145</v>
      </c>
      <c r="S20" s="19">
        <v>0</v>
      </c>
      <c r="T20" s="19">
        <v>12145</v>
      </c>
      <c r="U20" s="19">
        <v>0</v>
      </c>
      <c r="V20" s="19">
        <v>12145</v>
      </c>
      <c r="W20" s="19">
        <v>0</v>
      </c>
      <c r="X20" s="18">
        <v>0</v>
      </c>
      <c r="Y20" s="22">
        <f t="shared" si="2"/>
        <v>0</v>
      </c>
      <c r="Z20" s="31"/>
      <c r="AA20" s="32">
        <v>0</v>
      </c>
      <c r="AB20" s="20">
        <v>0</v>
      </c>
    </row>
    <row r="21" spans="1:28" ht="15.75">
      <c r="A21" s="19">
        <v>17</v>
      </c>
      <c r="B21" s="20" t="s">
        <v>46</v>
      </c>
      <c r="C21" s="25" t="s">
        <v>32</v>
      </c>
      <c r="D21" s="99">
        <v>0</v>
      </c>
      <c r="E21" s="99"/>
      <c r="F21" s="102">
        <v>0</v>
      </c>
      <c r="G21" s="102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/>
      <c r="S21" s="19">
        <v>0</v>
      </c>
      <c r="T21" s="19"/>
      <c r="U21" s="19">
        <v>0</v>
      </c>
      <c r="V21" s="19">
        <v>0</v>
      </c>
      <c r="W21" s="19">
        <v>0</v>
      </c>
      <c r="X21" s="18">
        <v>0</v>
      </c>
      <c r="Y21" s="22">
        <f t="shared" si="2"/>
        <v>0</v>
      </c>
      <c r="Z21" s="31"/>
      <c r="AA21" s="32">
        <v>0</v>
      </c>
      <c r="AB21" s="20">
        <v>0</v>
      </c>
    </row>
    <row r="22" spans="1:28" ht="15.75">
      <c r="A22" s="19">
        <v>18</v>
      </c>
      <c r="B22" s="20" t="s">
        <v>46</v>
      </c>
      <c r="C22" s="25" t="s">
        <v>33</v>
      </c>
      <c r="D22" s="99">
        <v>7500</v>
      </c>
      <c r="E22" s="99"/>
      <c r="F22" s="102">
        <v>3537</v>
      </c>
      <c r="G22" s="102">
        <v>0</v>
      </c>
      <c r="H22" s="19">
        <v>4747</v>
      </c>
      <c r="I22" s="19">
        <v>0</v>
      </c>
      <c r="J22" s="19">
        <v>12682</v>
      </c>
      <c r="K22" s="19">
        <v>0</v>
      </c>
      <c r="L22" s="19">
        <v>12682</v>
      </c>
      <c r="M22" s="19">
        <v>0</v>
      </c>
      <c r="N22" s="19">
        <v>12137</v>
      </c>
      <c r="O22" s="19">
        <v>0</v>
      </c>
      <c r="P22" s="19">
        <v>19287</v>
      </c>
      <c r="Q22" s="19">
        <v>0</v>
      </c>
      <c r="R22" s="19">
        <v>19287</v>
      </c>
      <c r="S22" s="19">
        <v>0</v>
      </c>
      <c r="T22" s="19">
        <v>19287</v>
      </c>
      <c r="U22" s="19">
        <v>0</v>
      </c>
      <c r="V22" s="19">
        <v>19287</v>
      </c>
      <c r="W22" s="19">
        <v>0</v>
      </c>
      <c r="X22" s="18">
        <v>0</v>
      </c>
      <c r="Y22" s="22">
        <f t="shared" si="2"/>
        <v>0</v>
      </c>
      <c r="Z22" s="31"/>
      <c r="AA22" s="32">
        <v>0</v>
      </c>
      <c r="AB22" s="20">
        <v>0</v>
      </c>
    </row>
    <row r="23" spans="1:28" ht="15.75">
      <c r="A23" s="19">
        <v>19</v>
      </c>
      <c r="B23" s="20" t="s">
        <v>46</v>
      </c>
      <c r="C23" s="25" t="s">
        <v>34</v>
      </c>
      <c r="D23" s="99">
        <v>0</v>
      </c>
      <c r="E23" s="99"/>
      <c r="F23" s="102">
        <v>0</v>
      </c>
      <c r="G23" s="102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/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8">
        <v>0</v>
      </c>
      <c r="Y23" s="22">
        <f t="shared" si="2"/>
        <v>0</v>
      </c>
      <c r="Z23" s="31"/>
      <c r="AA23" s="32">
        <v>0</v>
      </c>
      <c r="AB23" s="20">
        <v>0</v>
      </c>
    </row>
    <row r="24" spans="1:28" ht="15.75">
      <c r="A24" s="19">
        <v>20</v>
      </c>
      <c r="B24" s="20" t="s">
        <v>46</v>
      </c>
      <c r="C24" s="25" t="s">
        <v>35</v>
      </c>
      <c r="D24" s="99">
        <v>0</v>
      </c>
      <c r="E24" s="99"/>
      <c r="F24" s="102">
        <v>0</v>
      </c>
      <c r="G24" s="102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/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8">
        <v>0</v>
      </c>
      <c r="Y24" s="22">
        <f t="shared" si="2"/>
        <v>0</v>
      </c>
      <c r="Z24" s="31"/>
      <c r="AA24" s="32">
        <v>0</v>
      </c>
      <c r="AB24" s="20">
        <v>0</v>
      </c>
    </row>
    <row r="25" spans="1:28" ht="15.75">
      <c r="A25" s="19">
        <v>21</v>
      </c>
      <c r="B25" s="20" t="s">
        <v>46</v>
      </c>
      <c r="C25" s="25" t="s">
        <v>36</v>
      </c>
      <c r="D25" s="99">
        <v>0</v>
      </c>
      <c r="E25" s="99"/>
      <c r="F25" s="102">
        <v>0</v>
      </c>
      <c r="G25" s="102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/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8">
        <v>0</v>
      </c>
      <c r="Y25" s="22">
        <f t="shared" si="2"/>
        <v>0</v>
      </c>
      <c r="Z25" s="31"/>
      <c r="AA25" s="32">
        <v>0</v>
      </c>
      <c r="AB25" s="20">
        <v>0</v>
      </c>
    </row>
    <row r="26" spans="1:28" ht="15.75">
      <c r="A26" s="19">
        <v>22</v>
      </c>
      <c r="B26" s="20" t="s">
        <v>46</v>
      </c>
      <c r="C26" s="25" t="s">
        <v>37</v>
      </c>
      <c r="D26" s="99">
        <v>-76</v>
      </c>
      <c r="E26" s="99"/>
      <c r="F26" s="102">
        <v>339</v>
      </c>
      <c r="G26" s="102">
        <v>0</v>
      </c>
      <c r="H26" s="19">
        <v>339</v>
      </c>
      <c r="I26" s="19">
        <v>0</v>
      </c>
      <c r="J26" s="19">
        <v>746</v>
      </c>
      <c r="K26" s="19">
        <v>0</v>
      </c>
      <c r="L26" s="19">
        <v>746</v>
      </c>
      <c r="M26" s="19">
        <v>0</v>
      </c>
      <c r="N26" s="19">
        <v>746</v>
      </c>
      <c r="O26" s="19">
        <v>0</v>
      </c>
      <c r="P26" s="19">
        <v>746</v>
      </c>
      <c r="Q26" s="19">
        <v>0</v>
      </c>
      <c r="R26" s="19">
        <v>746</v>
      </c>
      <c r="S26" s="19">
        <v>0</v>
      </c>
      <c r="T26" s="19">
        <v>746</v>
      </c>
      <c r="U26" s="19">
        <v>0</v>
      </c>
      <c r="V26" s="19">
        <v>746</v>
      </c>
      <c r="W26" s="19">
        <v>0</v>
      </c>
      <c r="X26" s="18">
        <v>0</v>
      </c>
      <c r="Y26" s="22">
        <f t="shared" si="2"/>
        <v>0</v>
      </c>
      <c r="Z26" s="31"/>
      <c r="AA26" s="32">
        <v>0</v>
      </c>
      <c r="AB26" s="20">
        <v>0</v>
      </c>
    </row>
    <row r="27" spans="1:28" ht="15.75">
      <c r="A27" s="19">
        <v>23</v>
      </c>
      <c r="B27" s="20" t="s">
        <v>46</v>
      </c>
      <c r="C27" s="21" t="s">
        <v>38</v>
      </c>
      <c r="D27" s="164"/>
      <c r="E27" s="164"/>
      <c r="F27" s="102">
        <v>0</v>
      </c>
      <c r="G27" s="102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/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8">
        <v>0</v>
      </c>
      <c r="Y27" s="22">
        <f t="shared" si="2"/>
        <v>0</v>
      </c>
      <c r="Z27" s="31"/>
      <c r="AA27" s="32">
        <f t="shared" ref="AA27:AA30" si="3">Z27/19</f>
        <v>0</v>
      </c>
      <c r="AB27" s="20">
        <v>0</v>
      </c>
    </row>
    <row r="28" spans="1:28" ht="15.75">
      <c r="A28" s="19">
        <v>24</v>
      </c>
      <c r="B28" s="20" t="s">
        <v>46</v>
      </c>
      <c r="C28" s="21" t="s">
        <v>39</v>
      </c>
      <c r="D28" s="165"/>
      <c r="E28" s="165"/>
      <c r="F28" s="102">
        <f>G28*1.4</f>
        <v>350</v>
      </c>
      <c r="G28" s="102">
        <v>250</v>
      </c>
      <c r="H28" s="19">
        <v>350</v>
      </c>
      <c r="I28" s="19">
        <v>250</v>
      </c>
      <c r="J28" s="19">
        <v>0</v>
      </c>
      <c r="K28" s="19">
        <v>250</v>
      </c>
      <c r="L28" s="19">
        <f>M28*1.4</f>
        <v>350</v>
      </c>
      <c r="M28" s="19">
        <v>250</v>
      </c>
      <c r="N28" s="19">
        <v>350</v>
      </c>
      <c r="O28" s="19">
        <v>250</v>
      </c>
      <c r="P28" s="19">
        <v>350</v>
      </c>
      <c r="Q28" s="19">
        <v>250</v>
      </c>
      <c r="R28" s="19">
        <v>350</v>
      </c>
      <c r="S28" s="19">
        <v>250</v>
      </c>
      <c r="T28" s="19">
        <v>350</v>
      </c>
      <c r="U28" s="19">
        <v>250</v>
      </c>
      <c r="V28" s="19">
        <v>286</v>
      </c>
      <c r="W28" s="19">
        <v>250</v>
      </c>
      <c r="X28" s="18">
        <v>0</v>
      </c>
      <c r="Y28" s="22">
        <f t="shared" si="2"/>
        <v>64</v>
      </c>
      <c r="Z28" s="31"/>
      <c r="AA28" s="32">
        <f>Z28/3</f>
        <v>0</v>
      </c>
      <c r="AB28" s="20" t="e">
        <f>Z28/AA28</f>
        <v>#DIV/0!</v>
      </c>
    </row>
    <row r="29" spans="1:28" ht="15.75">
      <c r="A29" s="19">
        <v>25</v>
      </c>
      <c r="B29" s="20" t="s">
        <v>46</v>
      </c>
      <c r="C29" s="21" t="s">
        <v>40</v>
      </c>
      <c r="D29" s="165"/>
      <c r="E29" s="165"/>
      <c r="F29" s="102">
        <v>0</v>
      </c>
      <c r="G29" s="102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/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8">
        <v>0</v>
      </c>
      <c r="Y29" s="22">
        <f t="shared" si="2"/>
        <v>0</v>
      </c>
      <c r="Z29" s="31"/>
      <c r="AA29" s="32">
        <f t="shared" si="3"/>
        <v>0</v>
      </c>
      <c r="AB29" s="20">
        <v>0</v>
      </c>
    </row>
    <row r="30" spans="1:28" ht="15.75">
      <c r="A30" s="19">
        <v>26</v>
      </c>
      <c r="B30" s="20" t="s">
        <v>46</v>
      </c>
      <c r="C30" s="21" t="s">
        <v>41</v>
      </c>
      <c r="D30" s="165"/>
      <c r="E30" s="165"/>
      <c r="F30" s="102">
        <v>0</v>
      </c>
      <c r="G30" s="102">
        <v>0</v>
      </c>
      <c r="H30" s="28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/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8">
        <v>0</v>
      </c>
      <c r="Y30" s="22">
        <f t="shared" si="2"/>
        <v>0</v>
      </c>
      <c r="Z30" s="31"/>
      <c r="AA30" s="32">
        <f t="shared" si="3"/>
        <v>0</v>
      </c>
      <c r="AB30" s="20">
        <v>0</v>
      </c>
    </row>
    <row r="31" spans="1:28" ht="15.75">
      <c r="A31" s="19">
        <v>27</v>
      </c>
      <c r="B31" s="20" t="s">
        <v>46</v>
      </c>
      <c r="C31" s="21" t="s">
        <v>42</v>
      </c>
      <c r="D31" s="165">
        <v>66</v>
      </c>
      <c r="E31" s="165">
        <v>120</v>
      </c>
      <c r="F31" s="102">
        <v>66</v>
      </c>
      <c r="G31" s="102">
        <v>120</v>
      </c>
      <c r="H31" s="19">
        <v>66</v>
      </c>
      <c r="I31" s="19">
        <v>120</v>
      </c>
      <c r="J31" s="19">
        <v>176</v>
      </c>
      <c r="K31" s="19">
        <v>320</v>
      </c>
      <c r="L31" s="19">
        <f>M31*0.6</f>
        <v>192</v>
      </c>
      <c r="M31" s="19">
        <v>320</v>
      </c>
      <c r="N31" s="19">
        <v>176</v>
      </c>
      <c r="O31" s="19">
        <v>320</v>
      </c>
      <c r="P31" s="19">
        <v>286</v>
      </c>
      <c r="Q31" s="19">
        <v>520</v>
      </c>
      <c r="R31" s="19">
        <v>286</v>
      </c>
      <c r="S31" s="19">
        <v>520</v>
      </c>
      <c r="T31" s="19">
        <v>286</v>
      </c>
      <c r="U31" s="19">
        <v>520</v>
      </c>
      <c r="V31" s="19">
        <v>0</v>
      </c>
      <c r="W31" s="19">
        <v>520</v>
      </c>
      <c r="X31" s="18">
        <v>0</v>
      </c>
      <c r="Y31" s="22">
        <f t="shared" si="2"/>
        <v>286</v>
      </c>
      <c r="Z31" s="31"/>
      <c r="AA31" s="32">
        <f>Z31/0.6</f>
        <v>0</v>
      </c>
      <c r="AB31" s="20" t="e">
        <f>Z31/AA31</f>
        <v>#DIV/0!</v>
      </c>
    </row>
    <row r="32" spans="1:28" ht="15.75">
      <c r="A32" s="19">
        <v>31</v>
      </c>
      <c r="B32" s="20" t="s">
        <v>46</v>
      </c>
      <c r="C32" s="21" t="s">
        <v>43</v>
      </c>
      <c r="D32" s="165"/>
      <c r="E32" s="165">
        <v>27</v>
      </c>
      <c r="F32" s="103"/>
      <c r="G32" s="102">
        <v>27</v>
      </c>
      <c r="H32" s="19">
        <v>0</v>
      </c>
      <c r="I32" s="19">
        <v>27</v>
      </c>
      <c r="J32" s="19">
        <v>0</v>
      </c>
      <c r="K32" s="19">
        <v>27</v>
      </c>
      <c r="L32" s="19">
        <v>0</v>
      </c>
      <c r="M32" s="19">
        <v>27</v>
      </c>
      <c r="N32" s="19">
        <v>0</v>
      </c>
      <c r="O32" s="19">
        <v>27</v>
      </c>
      <c r="P32" s="19">
        <v>0</v>
      </c>
      <c r="Q32" s="19">
        <v>607</v>
      </c>
      <c r="R32" s="19"/>
      <c r="S32" s="19">
        <v>607</v>
      </c>
      <c r="T32" s="19">
        <v>0</v>
      </c>
      <c r="U32" s="19">
        <v>607</v>
      </c>
      <c r="V32" s="19">
        <v>0</v>
      </c>
      <c r="W32" s="19">
        <v>607</v>
      </c>
      <c r="X32" s="18">
        <v>0</v>
      </c>
      <c r="Y32" s="22">
        <f t="shared" si="2"/>
        <v>0</v>
      </c>
      <c r="Z32" s="31"/>
      <c r="AA32" s="32">
        <v>27</v>
      </c>
      <c r="AB32" s="20">
        <v>0</v>
      </c>
    </row>
    <row r="33" spans="1:28" ht="15.75">
      <c r="A33" s="20"/>
      <c r="B33" s="20"/>
      <c r="C33" s="161" t="s">
        <v>110</v>
      </c>
      <c r="D33" s="166">
        <f>SUM(D5:D32)</f>
        <v>52136</v>
      </c>
      <c r="E33" s="166"/>
      <c r="F33" s="99">
        <f>SUM(F5:F32)</f>
        <v>53199</v>
      </c>
      <c r="G33" s="99"/>
      <c r="H33" s="20">
        <f>SUM(H5:H32)</f>
        <v>116412</v>
      </c>
      <c r="I33" s="20">
        <f>SUM(I5:I32)</f>
        <v>4712</v>
      </c>
      <c r="J33" s="20">
        <f>SUM(J5:J32)</f>
        <v>173026</v>
      </c>
      <c r="K33" s="20">
        <f>SUM(K5:K32)</f>
        <v>8403</v>
      </c>
      <c r="L33" s="20">
        <f>SUM(L5:L32)</f>
        <v>173392</v>
      </c>
      <c r="M33" s="20">
        <f>SUM(M6:M32)</f>
        <v>8403</v>
      </c>
      <c r="N33" s="99">
        <f t="shared" ref="N33:S33" si="4">SUM(N5:N32)</f>
        <v>170114</v>
      </c>
      <c r="O33" s="20">
        <f t="shared" si="4"/>
        <v>8310</v>
      </c>
      <c r="P33" s="20">
        <f t="shared" si="4"/>
        <v>194035.7</v>
      </c>
      <c r="Q33" s="20">
        <f t="shared" si="4"/>
        <v>11864.5</v>
      </c>
      <c r="R33" s="20">
        <f t="shared" si="4"/>
        <v>194035.7</v>
      </c>
      <c r="S33" s="20">
        <f t="shared" si="4"/>
        <v>11864.5</v>
      </c>
      <c r="T33" s="20">
        <f t="shared" ref="T33:U33" si="5">SUM(T5:T32)</f>
        <v>194035.7</v>
      </c>
      <c r="U33" s="20">
        <f t="shared" si="5"/>
        <v>11864.5</v>
      </c>
      <c r="V33" s="20">
        <f>SUM(V5:V32)</f>
        <v>181437.9</v>
      </c>
      <c r="W33" s="20">
        <f>SUM(W5:W32)</f>
        <v>11426.5</v>
      </c>
      <c r="X33" s="18">
        <f t="shared" ref="X33" si="6">P33-R33</f>
        <v>0</v>
      </c>
      <c r="Y33" s="22">
        <f t="shared" si="2"/>
        <v>12597.800000000017</v>
      </c>
      <c r="Z33" s="31"/>
      <c r="AA33" s="32">
        <f>SUM(AA6:AA32)</f>
        <v>27</v>
      </c>
      <c r="AB33" s="28"/>
    </row>
    <row r="34" spans="1:28">
      <c r="A34" s="28"/>
      <c r="B34" s="28"/>
      <c r="C34" s="20" t="s">
        <v>47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0"/>
      <c r="Z34" s="20"/>
      <c r="AA34" s="28"/>
      <c r="AB34" s="28"/>
    </row>
    <row r="35" spans="1:28">
      <c r="Z35" s="36"/>
    </row>
  </sheetData>
  <mergeCells count="11">
    <mergeCell ref="A2:AB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</mergeCells>
  <phoneticPr fontId="66" type="noConversion"/>
  <pageMargins left="0.7" right="0.57999999999999996" top="0.5" bottom="0.54" header="0.3" footer="0.3"/>
  <pageSetup paperSize="9" scale="91" orientation="landscape" r:id="rId1"/>
  <ignoredErrors>
    <ignoredError sqref="AC6:AC16" evalError="1"/>
    <ignoredError sqref="AA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9"/>
  <sheetViews>
    <sheetView topLeftCell="E1" zoomScale="106" zoomScaleNormal="106" workbookViewId="0">
      <selection activeCell="R3" sqref="R3"/>
    </sheetView>
  </sheetViews>
  <sheetFormatPr defaultColWidth="9.140625" defaultRowHeight="15"/>
  <cols>
    <col min="1" max="1" width="4.42578125" customWidth="1"/>
    <col min="2" max="2" width="14.140625" customWidth="1"/>
    <col min="3" max="3" width="25.5703125" customWidth="1"/>
    <col min="4" max="4" width="13.42578125" customWidth="1"/>
    <col min="5" max="5" width="13.28515625" bestFit="1" customWidth="1"/>
    <col min="6" max="6" width="13.42578125" bestFit="1" customWidth="1"/>
    <col min="7" max="21" width="12.7109375" customWidth="1"/>
    <col min="22" max="22" width="10.140625" customWidth="1"/>
    <col min="23" max="23" width="12.28515625" bestFit="1" customWidth="1"/>
    <col min="24" max="24" width="11.85546875" bestFit="1" customWidth="1"/>
  </cols>
  <sheetData>
    <row r="1" spans="1:24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</row>
    <row r="2" spans="1:24" ht="25.5" customHeight="1">
      <c r="A2" s="108"/>
      <c r="B2" s="108"/>
      <c r="C2" s="108"/>
      <c r="D2" s="289" t="s">
        <v>145</v>
      </c>
      <c r="E2" s="290"/>
      <c r="F2" s="289" t="s">
        <v>161</v>
      </c>
      <c r="G2" s="290"/>
      <c r="H2" s="289" t="s">
        <v>164</v>
      </c>
      <c r="I2" s="290"/>
      <c r="J2" s="289" t="s">
        <v>171</v>
      </c>
      <c r="K2" s="290"/>
      <c r="L2" s="289" t="s">
        <v>232</v>
      </c>
      <c r="M2" s="290"/>
      <c r="N2" s="289" t="s">
        <v>240</v>
      </c>
      <c r="O2" s="290"/>
      <c r="P2" s="289" t="s">
        <v>243</v>
      </c>
      <c r="Q2" s="290"/>
      <c r="R2" s="289" t="s">
        <v>247</v>
      </c>
      <c r="S2" s="290"/>
      <c r="T2" s="162" t="s">
        <v>150</v>
      </c>
      <c r="U2" s="162" t="s">
        <v>150</v>
      </c>
      <c r="V2" s="162"/>
      <c r="W2" s="108"/>
      <c r="X2" s="108"/>
    </row>
    <row r="3" spans="1:24" ht="15.75">
      <c r="A3" s="17" t="s">
        <v>1</v>
      </c>
      <c r="B3" s="17" t="s">
        <v>2</v>
      </c>
      <c r="C3" s="17" t="s">
        <v>3</v>
      </c>
      <c r="D3" s="167" t="s">
        <v>4</v>
      </c>
      <c r="E3" s="167" t="s">
        <v>149</v>
      </c>
      <c r="F3" s="167" t="s">
        <v>4</v>
      </c>
      <c r="G3" s="167" t="s">
        <v>149</v>
      </c>
      <c r="H3" s="167" t="s">
        <v>4</v>
      </c>
      <c r="I3" s="167" t="s">
        <v>149</v>
      </c>
      <c r="J3" s="167" t="s">
        <v>4</v>
      </c>
      <c r="K3" s="167" t="s">
        <v>149</v>
      </c>
      <c r="L3" s="167" t="s">
        <v>4</v>
      </c>
      <c r="M3" s="167" t="s">
        <v>149</v>
      </c>
      <c r="N3" s="167" t="s">
        <v>4</v>
      </c>
      <c r="O3" s="167" t="s">
        <v>149</v>
      </c>
      <c r="P3" s="167" t="s">
        <v>4</v>
      </c>
      <c r="Q3" s="167" t="s">
        <v>149</v>
      </c>
      <c r="R3" s="167" t="s">
        <v>4</v>
      </c>
      <c r="S3" s="167" t="s">
        <v>149</v>
      </c>
      <c r="T3" s="18" t="s">
        <v>125</v>
      </c>
      <c r="U3" s="18" t="s">
        <v>8</v>
      </c>
      <c r="V3" s="17" t="s">
        <v>10</v>
      </c>
      <c r="W3" s="17" t="s">
        <v>11</v>
      </c>
      <c r="X3" s="20" t="s">
        <v>12</v>
      </c>
    </row>
    <row r="4" spans="1:24" ht="15.75">
      <c r="A4" s="19">
        <v>1</v>
      </c>
      <c r="B4" s="20" t="s">
        <v>45</v>
      </c>
      <c r="C4" s="21" t="s">
        <v>14</v>
      </c>
      <c r="D4" s="168">
        <v>14973</v>
      </c>
      <c r="E4" s="168">
        <v>0</v>
      </c>
      <c r="F4" s="168">
        <v>14973</v>
      </c>
      <c r="G4" s="168">
        <v>0</v>
      </c>
      <c r="H4" s="168">
        <v>14973</v>
      </c>
      <c r="I4" s="168">
        <v>0</v>
      </c>
      <c r="J4" s="31">
        <v>14973</v>
      </c>
      <c r="K4" s="31">
        <v>0</v>
      </c>
      <c r="L4" s="31">
        <v>14973</v>
      </c>
      <c r="M4" s="31">
        <v>0</v>
      </c>
      <c r="N4" s="31">
        <v>14973</v>
      </c>
      <c r="O4" s="31">
        <v>0</v>
      </c>
      <c r="P4" s="31">
        <v>14973</v>
      </c>
      <c r="Q4" s="31">
        <v>0</v>
      </c>
      <c r="R4" s="31">
        <v>14973</v>
      </c>
      <c r="S4" s="31">
        <v>0</v>
      </c>
      <c r="T4" s="18">
        <v>0</v>
      </c>
      <c r="U4" s="18">
        <v>0</v>
      </c>
      <c r="V4" s="31">
        <f>(D4+T4)-U4</f>
        <v>14973</v>
      </c>
      <c r="W4" s="19">
        <v>0</v>
      </c>
      <c r="X4" s="19"/>
    </row>
    <row r="5" spans="1:24" ht="15.75">
      <c r="A5" s="19">
        <v>2</v>
      </c>
      <c r="B5" s="20" t="s">
        <v>45</v>
      </c>
      <c r="C5" s="21" t="s">
        <v>15</v>
      </c>
      <c r="D5" s="168">
        <v>7562</v>
      </c>
      <c r="E5" s="168">
        <f>398</f>
        <v>398</v>
      </c>
      <c r="F5" s="168">
        <v>7562</v>
      </c>
      <c r="G5" s="168">
        <f>398</f>
        <v>398</v>
      </c>
      <c r="H5" s="168">
        <v>7562</v>
      </c>
      <c r="I5" s="168">
        <f>398</f>
        <v>398</v>
      </c>
      <c r="J5" s="31">
        <v>7562</v>
      </c>
      <c r="K5" s="31">
        <f>398</f>
        <v>398</v>
      </c>
      <c r="L5" s="31">
        <v>7562</v>
      </c>
      <c r="M5" s="31">
        <f>398</f>
        <v>398</v>
      </c>
      <c r="N5" s="31">
        <v>7562</v>
      </c>
      <c r="O5" s="31">
        <f>398</f>
        <v>398</v>
      </c>
      <c r="P5" s="31">
        <v>7562</v>
      </c>
      <c r="Q5" s="31">
        <f>398</f>
        <v>398</v>
      </c>
      <c r="R5" s="31">
        <v>7562</v>
      </c>
      <c r="S5" s="31">
        <f>398</f>
        <v>398</v>
      </c>
      <c r="T5" s="18">
        <v>0</v>
      </c>
      <c r="U5" s="18">
        <v>0</v>
      </c>
      <c r="V5" s="31">
        <f t="shared" ref="V5:V31" si="0">(D5+T5)-U5</f>
        <v>7562</v>
      </c>
      <c r="W5" s="19">
        <f>V5/19</f>
        <v>398</v>
      </c>
      <c r="X5" s="19">
        <f>V5/W5</f>
        <v>19</v>
      </c>
    </row>
    <row r="6" spans="1:24" ht="15.75">
      <c r="A6" s="19">
        <v>3</v>
      </c>
      <c r="B6" s="20" t="s">
        <v>45</v>
      </c>
      <c r="C6" s="21" t="s">
        <v>16</v>
      </c>
      <c r="D6" s="168">
        <v>2701</v>
      </c>
      <c r="E6" s="168">
        <v>73</v>
      </c>
      <c r="F6" s="168">
        <v>2701</v>
      </c>
      <c r="G6" s="168">
        <v>73</v>
      </c>
      <c r="H6" s="168">
        <v>2701</v>
      </c>
      <c r="I6" s="168">
        <v>73</v>
      </c>
      <c r="J6" s="31">
        <v>2701</v>
      </c>
      <c r="K6" s="31">
        <v>73</v>
      </c>
      <c r="L6" s="31">
        <v>2701</v>
      </c>
      <c r="M6" s="31">
        <v>73</v>
      </c>
      <c r="N6" s="31">
        <v>2701</v>
      </c>
      <c r="O6" s="31">
        <v>73</v>
      </c>
      <c r="P6" s="31">
        <v>2701</v>
      </c>
      <c r="Q6" s="31">
        <v>73</v>
      </c>
      <c r="R6" s="31">
        <v>2701</v>
      </c>
      <c r="S6" s="31">
        <v>73</v>
      </c>
      <c r="T6" s="18">
        <v>0</v>
      </c>
      <c r="U6" s="18">
        <v>0</v>
      </c>
      <c r="V6" s="31">
        <f t="shared" si="0"/>
        <v>2701</v>
      </c>
      <c r="W6" s="19">
        <f>V6/37</f>
        <v>73</v>
      </c>
      <c r="X6" s="19">
        <f t="shared" ref="X6:X16" si="1">V6/W6</f>
        <v>37</v>
      </c>
    </row>
    <row r="7" spans="1:24" ht="15.75">
      <c r="A7" s="19">
        <v>4</v>
      </c>
      <c r="B7" s="20" t="s">
        <v>45</v>
      </c>
      <c r="C7" s="21" t="s">
        <v>17</v>
      </c>
      <c r="D7" s="168">
        <v>1836</v>
      </c>
      <c r="E7" s="168">
        <v>108</v>
      </c>
      <c r="F7" s="168">
        <v>1836</v>
      </c>
      <c r="G7" s="168">
        <v>108</v>
      </c>
      <c r="H7" s="168">
        <v>1836</v>
      </c>
      <c r="I7" s="168">
        <v>108</v>
      </c>
      <c r="J7" s="31">
        <v>1836</v>
      </c>
      <c r="K7" s="31">
        <v>108</v>
      </c>
      <c r="L7" s="31">
        <v>1836</v>
      </c>
      <c r="M7" s="31">
        <v>108</v>
      </c>
      <c r="N7" s="31">
        <v>1836</v>
      </c>
      <c r="O7" s="31">
        <v>108</v>
      </c>
      <c r="P7" s="31">
        <v>1836</v>
      </c>
      <c r="Q7" s="31">
        <v>108</v>
      </c>
      <c r="R7" s="31">
        <v>1836</v>
      </c>
      <c r="S7" s="31">
        <v>108</v>
      </c>
      <c r="T7" s="18">
        <v>0</v>
      </c>
      <c r="U7" s="18">
        <v>0</v>
      </c>
      <c r="V7" s="31">
        <f t="shared" si="0"/>
        <v>1836</v>
      </c>
      <c r="W7" s="19">
        <f>V7/17</f>
        <v>108</v>
      </c>
      <c r="X7" s="19">
        <f t="shared" si="1"/>
        <v>17</v>
      </c>
    </row>
    <row r="8" spans="1:24" ht="15.75">
      <c r="A8" s="19">
        <v>5</v>
      </c>
      <c r="B8" s="20" t="s">
        <v>45</v>
      </c>
      <c r="C8" s="21" t="s">
        <v>18</v>
      </c>
      <c r="D8" s="168">
        <v>605</v>
      </c>
      <c r="E8" s="168">
        <v>121</v>
      </c>
      <c r="F8" s="168">
        <v>605</v>
      </c>
      <c r="G8" s="168">
        <v>121</v>
      </c>
      <c r="H8" s="168">
        <v>605</v>
      </c>
      <c r="I8" s="168">
        <v>121</v>
      </c>
      <c r="J8" s="31">
        <v>605</v>
      </c>
      <c r="K8" s="31">
        <v>121</v>
      </c>
      <c r="L8" s="31">
        <v>605</v>
      </c>
      <c r="M8" s="31">
        <v>121</v>
      </c>
      <c r="N8" s="31">
        <v>605</v>
      </c>
      <c r="O8" s="31">
        <v>121</v>
      </c>
      <c r="P8" s="31">
        <v>605</v>
      </c>
      <c r="Q8" s="31">
        <v>121</v>
      </c>
      <c r="R8" s="31">
        <v>605</v>
      </c>
      <c r="S8" s="31">
        <v>121</v>
      </c>
      <c r="T8" s="18">
        <v>0</v>
      </c>
      <c r="U8" s="18">
        <v>0</v>
      </c>
      <c r="V8" s="31">
        <f t="shared" si="0"/>
        <v>605</v>
      </c>
      <c r="W8" s="19">
        <f>V8/5</f>
        <v>121</v>
      </c>
      <c r="X8" s="19">
        <f t="shared" si="1"/>
        <v>5</v>
      </c>
    </row>
    <row r="9" spans="1:24" ht="15.75">
      <c r="A9" s="19">
        <v>6</v>
      </c>
      <c r="B9" s="20" t="s">
        <v>45</v>
      </c>
      <c r="C9" s="21" t="s">
        <v>19</v>
      </c>
      <c r="D9" s="168">
        <v>297</v>
      </c>
      <c r="E9" s="168">
        <v>495</v>
      </c>
      <c r="F9" s="168">
        <v>297</v>
      </c>
      <c r="G9" s="168">
        <v>495</v>
      </c>
      <c r="H9" s="168">
        <v>297</v>
      </c>
      <c r="I9" s="168">
        <v>495</v>
      </c>
      <c r="J9" s="31">
        <v>297</v>
      </c>
      <c r="K9" s="31">
        <v>495</v>
      </c>
      <c r="L9" s="31">
        <v>297</v>
      </c>
      <c r="M9" s="31">
        <v>495</v>
      </c>
      <c r="N9" s="31">
        <v>297</v>
      </c>
      <c r="O9" s="31">
        <v>495</v>
      </c>
      <c r="P9" s="31">
        <v>297</v>
      </c>
      <c r="Q9" s="31">
        <v>495</v>
      </c>
      <c r="R9" s="31">
        <v>297</v>
      </c>
      <c r="S9" s="31">
        <v>495</v>
      </c>
      <c r="T9" s="18">
        <v>0</v>
      </c>
      <c r="U9" s="18">
        <v>0</v>
      </c>
      <c r="V9" s="31">
        <f t="shared" si="0"/>
        <v>297</v>
      </c>
      <c r="W9" s="19">
        <f>V9/0.6</f>
        <v>495</v>
      </c>
      <c r="X9" s="19">
        <f t="shared" si="1"/>
        <v>0.6</v>
      </c>
    </row>
    <row r="10" spans="1:24" ht="15.75">
      <c r="A10" s="19">
        <v>7</v>
      </c>
      <c r="B10" s="20" t="s">
        <v>45</v>
      </c>
      <c r="C10" s="24" t="s">
        <v>20</v>
      </c>
      <c r="D10" s="168">
        <v>650</v>
      </c>
      <c r="E10" s="168">
        <v>130</v>
      </c>
      <c r="F10" s="168">
        <v>650</v>
      </c>
      <c r="G10" s="168">
        <v>130</v>
      </c>
      <c r="H10" s="168">
        <v>650</v>
      </c>
      <c r="I10" s="168">
        <v>130</v>
      </c>
      <c r="J10" s="31">
        <v>650</v>
      </c>
      <c r="K10" s="31">
        <v>130</v>
      </c>
      <c r="L10" s="31">
        <v>650</v>
      </c>
      <c r="M10" s="31">
        <v>130</v>
      </c>
      <c r="N10" s="31">
        <v>650</v>
      </c>
      <c r="O10" s="31">
        <v>130</v>
      </c>
      <c r="P10" s="31">
        <v>650</v>
      </c>
      <c r="Q10" s="31">
        <v>130</v>
      </c>
      <c r="R10" s="31">
        <v>650</v>
      </c>
      <c r="S10" s="31">
        <v>130</v>
      </c>
      <c r="T10" s="18">
        <v>0</v>
      </c>
      <c r="U10" s="18">
        <v>0</v>
      </c>
      <c r="V10" s="31">
        <f t="shared" si="0"/>
        <v>650</v>
      </c>
      <c r="W10" s="19">
        <f>V10/5</f>
        <v>130</v>
      </c>
      <c r="X10" s="19">
        <f t="shared" si="1"/>
        <v>5</v>
      </c>
    </row>
    <row r="11" spans="1:24" ht="15.75">
      <c r="A11" s="19">
        <v>8</v>
      </c>
      <c r="B11" s="20" t="s">
        <v>45</v>
      </c>
      <c r="C11" s="24" t="s">
        <v>22</v>
      </c>
      <c r="D11" s="168">
        <v>650</v>
      </c>
      <c r="E11" s="168">
        <v>130</v>
      </c>
      <c r="F11" s="168">
        <v>650</v>
      </c>
      <c r="G11" s="168">
        <v>130</v>
      </c>
      <c r="H11" s="168">
        <v>650</v>
      </c>
      <c r="I11" s="168">
        <v>130</v>
      </c>
      <c r="J11" s="31">
        <v>650</v>
      </c>
      <c r="K11" s="31">
        <v>130</v>
      </c>
      <c r="L11" s="31">
        <v>650</v>
      </c>
      <c r="M11" s="31">
        <v>130</v>
      </c>
      <c r="N11" s="31">
        <v>650</v>
      </c>
      <c r="O11" s="31">
        <v>130</v>
      </c>
      <c r="P11" s="31">
        <v>650</v>
      </c>
      <c r="Q11" s="31">
        <v>130</v>
      </c>
      <c r="R11" s="31">
        <v>650</v>
      </c>
      <c r="S11" s="31">
        <v>130</v>
      </c>
      <c r="T11" s="18">
        <v>0</v>
      </c>
      <c r="U11" s="18">
        <v>0</v>
      </c>
      <c r="V11" s="31">
        <f t="shared" si="0"/>
        <v>650</v>
      </c>
      <c r="W11" s="19">
        <f>V11/5</f>
        <v>130</v>
      </c>
      <c r="X11" s="19">
        <f t="shared" si="1"/>
        <v>5</v>
      </c>
    </row>
    <row r="12" spans="1:24" ht="15.75">
      <c r="A12" s="19">
        <v>9</v>
      </c>
      <c r="B12" s="20" t="s">
        <v>45</v>
      </c>
      <c r="C12" s="24" t="s">
        <v>23</v>
      </c>
      <c r="D12" s="168">
        <v>0</v>
      </c>
      <c r="E12" s="168">
        <v>0</v>
      </c>
      <c r="F12" s="168">
        <v>0</v>
      </c>
      <c r="G12" s="168">
        <v>0</v>
      </c>
      <c r="H12" s="168">
        <v>0</v>
      </c>
      <c r="I12" s="168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18">
        <v>0</v>
      </c>
      <c r="U12" s="18">
        <v>0</v>
      </c>
      <c r="V12" s="31">
        <f t="shared" si="0"/>
        <v>0</v>
      </c>
      <c r="W12" s="19">
        <v>0</v>
      </c>
      <c r="X12" s="19">
        <v>0</v>
      </c>
    </row>
    <row r="13" spans="1:24" ht="15.75">
      <c r="A13" s="19">
        <v>10</v>
      </c>
      <c r="B13" s="20" t="s">
        <v>45</v>
      </c>
      <c r="C13" s="24" t="s">
        <v>25</v>
      </c>
      <c r="D13" s="168">
        <v>0</v>
      </c>
      <c r="E13" s="168">
        <v>0</v>
      </c>
      <c r="F13" s="168">
        <v>0</v>
      </c>
      <c r="G13" s="168">
        <v>0</v>
      </c>
      <c r="H13" s="168">
        <v>0</v>
      </c>
      <c r="I13" s="168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18">
        <v>0</v>
      </c>
      <c r="U13" s="18">
        <v>0</v>
      </c>
      <c r="V13" s="31">
        <f t="shared" si="0"/>
        <v>0</v>
      </c>
      <c r="W13" s="19">
        <v>0</v>
      </c>
      <c r="X13" s="19">
        <v>0</v>
      </c>
    </row>
    <row r="14" spans="1:24" ht="15.75">
      <c r="A14" s="19">
        <v>11</v>
      </c>
      <c r="B14" s="20" t="s">
        <v>45</v>
      </c>
      <c r="C14" s="24" t="s">
        <v>26</v>
      </c>
      <c r="D14" s="168">
        <v>960</v>
      </c>
      <c r="E14" s="168">
        <v>0</v>
      </c>
      <c r="F14" s="168">
        <v>960</v>
      </c>
      <c r="G14" s="168">
        <v>0</v>
      </c>
      <c r="H14" s="168">
        <v>960</v>
      </c>
      <c r="I14" s="168">
        <v>0</v>
      </c>
      <c r="J14" s="31">
        <v>960</v>
      </c>
      <c r="K14" s="31">
        <v>0</v>
      </c>
      <c r="L14" s="31">
        <v>960</v>
      </c>
      <c r="M14" s="31">
        <v>0</v>
      </c>
      <c r="N14" s="31">
        <v>960</v>
      </c>
      <c r="O14" s="31">
        <v>0</v>
      </c>
      <c r="P14" s="31">
        <v>960</v>
      </c>
      <c r="Q14" s="31">
        <v>0</v>
      </c>
      <c r="R14" s="31">
        <v>960</v>
      </c>
      <c r="S14" s="31">
        <v>0</v>
      </c>
      <c r="T14" s="18">
        <v>0</v>
      </c>
      <c r="U14" s="18">
        <v>0</v>
      </c>
      <c r="V14" s="31">
        <f t="shared" si="0"/>
        <v>960</v>
      </c>
      <c r="W14" s="19">
        <v>0</v>
      </c>
      <c r="X14" s="19">
        <v>0</v>
      </c>
    </row>
    <row r="15" spans="1:24" ht="15.75">
      <c r="A15" s="19">
        <v>12</v>
      </c>
      <c r="B15" s="20" t="s">
        <v>45</v>
      </c>
      <c r="C15" s="21" t="s">
        <v>27</v>
      </c>
      <c r="D15" s="168">
        <v>0</v>
      </c>
      <c r="E15" s="168">
        <v>0</v>
      </c>
      <c r="F15" s="168">
        <v>0</v>
      </c>
      <c r="G15" s="168">
        <v>0</v>
      </c>
      <c r="H15" s="168">
        <v>0</v>
      </c>
      <c r="I15" s="168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18">
        <v>0</v>
      </c>
      <c r="U15" s="18">
        <v>0</v>
      </c>
      <c r="V15" s="31">
        <f t="shared" si="0"/>
        <v>0</v>
      </c>
      <c r="W15" s="19">
        <v>0</v>
      </c>
      <c r="X15" s="19">
        <v>0</v>
      </c>
    </row>
    <row r="16" spans="1:24" ht="15.75">
      <c r="A16" s="19">
        <v>13</v>
      </c>
      <c r="B16" s="20" t="s">
        <v>45</v>
      </c>
      <c r="C16" s="25" t="s">
        <v>28</v>
      </c>
      <c r="D16" s="168">
        <v>3570</v>
      </c>
      <c r="E16" s="168">
        <v>210</v>
      </c>
      <c r="F16" s="168">
        <v>3570</v>
      </c>
      <c r="G16" s="168">
        <v>210</v>
      </c>
      <c r="H16" s="168">
        <v>3570</v>
      </c>
      <c r="I16" s="168">
        <v>210</v>
      </c>
      <c r="J16" s="31">
        <v>3570</v>
      </c>
      <c r="K16" s="31">
        <v>210</v>
      </c>
      <c r="L16" s="31">
        <v>3570</v>
      </c>
      <c r="M16" s="31">
        <v>210</v>
      </c>
      <c r="N16" s="31">
        <v>3570</v>
      </c>
      <c r="O16" s="31">
        <v>210</v>
      </c>
      <c r="P16" s="31">
        <v>3570</v>
      </c>
      <c r="Q16" s="31">
        <v>210</v>
      </c>
      <c r="R16" s="31">
        <v>3570</v>
      </c>
      <c r="S16" s="31">
        <v>210</v>
      </c>
      <c r="T16" s="18">
        <v>0</v>
      </c>
      <c r="U16" s="18">
        <v>0</v>
      </c>
      <c r="V16" s="31">
        <f t="shared" si="0"/>
        <v>3570</v>
      </c>
      <c r="W16" s="19">
        <f>V16/17</f>
        <v>210</v>
      </c>
      <c r="X16" s="19">
        <f t="shared" si="1"/>
        <v>17</v>
      </c>
    </row>
    <row r="17" spans="1:24" ht="15.75">
      <c r="A17" s="19">
        <v>14</v>
      </c>
      <c r="B17" s="20" t="s">
        <v>45</v>
      </c>
      <c r="C17" s="25" t="s">
        <v>29</v>
      </c>
      <c r="D17" s="168">
        <v>0</v>
      </c>
      <c r="E17" s="168">
        <v>0</v>
      </c>
      <c r="F17" s="168">
        <v>0</v>
      </c>
      <c r="G17" s="168">
        <v>0</v>
      </c>
      <c r="H17" s="168">
        <v>0</v>
      </c>
      <c r="I17" s="168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18">
        <v>0</v>
      </c>
      <c r="U17" s="18">
        <v>0</v>
      </c>
      <c r="V17" s="31">
        <f t="shared" si="0"/>
        <v>0</v>
      </c>
      <c r="W17" s="19">
        <v>0</v>
      </c>
      <c r="X17" s="19">
        <v>0</v>
      </c>
    </row>
    <row r="18" spans="1:24" ht="15.75">
      <c r="A18" s="19">
        <v>15</v>
      </c>
      <c r="B18" s="20" t="s">
        <v>45</v>
      </c>
      <c r="C18" s="25" t="s">
        <v>30</v>
      </c>
      <c r="D18" s="168">
        <v>3500</v>
      </c>
      <c r="E18" s="168">
        <v>0</v>
      </c>
      <c r="F18" s="168">
        <v>3500</v>
      </c>
      <c r="G18" s="168">
        <v>0</v>
      </c>
      <c r="H18" s="168">
        <v>3500</v>
      </c>
      <c r="I18" s="168">
        <v>0</v>
      </c>
      <c r="J18" s="31">
        <v>3500</v>
      </c>
      <c r="K18" s="31">
        <v>0</v>
      </c>
      <c r="L18" s="31">
        <v>3500</v>
      </c>
      <c r="M18" s="31">
        <v>0</v>
      </c>
      <c r="N18" s="31">
        <v>3500</v>
      </c>
      <c r="O18" s="31">
        <v>0</v>
      </c>
      <c r="P18" s="31">
        <v>3500</v>
      </c>
      <c r="Q18" s="31">
        <v>0</v>
      </c>
      <c r="R18" s="31">
        <v>3500</v>
      </c>
      <c r="S18" s="31">
        <v>0</v>
      </c>
      <c r="T18" s="18">
        <v>0</v>
      </c>
      <c r="U18" s="18">
        <v>0</v>
      </c>
      <c r="V18" s="31">
        <f t="shared" si="0"/>
        <v>3500</v>
      </c>
      <c r="W18" s="19">
        <v>0</v>
      </c>
      <c r="X18" s="19">
        <v>0</v>
      </c>
    </row>
    <row r="19" spans="1:24" ht="15.75">
      <c r="A19" s="19">
        <v>16</v>
      </c>
      <c r="B19" s="20" t="s">
        <v>45</v>
      </c>
      <c r="C19" s="25" t="s">
        <v>31</v>
      </c>
      <c r="D19" s="168">
        <v>2243</v>
      </c>
      <c r="E19" s="168">
        <v>0</v>
      </c>
      <c r="F19" s="168">
        <v>2243</v>
      </c>
      <c r="G19" s="168">
        <v>0</v>
      </c>
      <c r="H19" s="168">
        <v>2243</v>
      </c>
      <c r="I19" s="168">
        <v>0</v>
      </c>
      <c r="J19" s="31">
        <v>2243</v>
      </c>
      <c r="K19" s="31">
        <v>0</v>
      </c>
      <c r="L19" s="31">
        <v>2243</v>
      </c>
      <c r="M19" s="31">
        <v>0</v>
      </c>
      <c r="N19" s="31">
        <v>2243</v>
      </c>
      <c r="O19" s="31">
        <v>0</v>
      </c>
      <c r="P19" s="31">
        <v>2243</v>
      </c>
      <c r="Q19" s="31">
        <v>0</v>
      </c>
      <c r="R19" s="31">
        <v>2243</v>
      </c>
      <c r="S19" s="31">
        <v>0</v>
      </c>
      <c r="T19" s="18">
        <v>0</v>
      </c>
      <c r="U19" s="18">
        <v>0</v>
      </c>
      <c r="V19" s="31">
        <f t="shared" si="0"/>
        <v>2243</v>
      </c>
      <c r="W19" s="19">
        <v>0</v>
      </c>
      <c r="X19" s="19">
        <v>0</v>
      </c>
    </row>
    <row r="20" spans="1:24" ht="15.75">
      <c r="A20" s="19">
        <v>17</v>
      </c>
      <c r="B20" s="20" t="s">
        <v>45</v>
      </c>
      <c r="C20" s="25" t="s">
        <v>32</v>
      </c>
      <c r="D20" s="168">
        <v>0</v>
      </c>
      <c r="E20" s="168">
        <v>0</v>
      </c>
      <c r="F20" s="168">
        <v>0</v>
      </c>
      <c r="G20" s="168">
        <v>0</v>
      </c>
      <c r="H20" s="168">
        <v>0</v>
      </c>
      <c r="I20" s="168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18">
        <v>0</v>
      </c>
      <c r="U20" s="18">
        <v>0</v>
      </c>
      <c r="V20" s="31">
        <f t="shared" si="0"/>
        <v>0</v>
      </c>
      <c r="W20" s="19">
        <v>0</v>
      </c>
      <c r="X20" s="19">
        <v>0</v>
      </c>
    </row>
    <row r="21" spans="1:24" ht="15.75">
      <c r="A21" s="19">
        <v>18</v>
      </c>
      <c r="B21" s="20" t="s">
        <v>45</v>
      </c>
      <c r="C21" s="25" t="s">
        <v>33</v>
      </c>
      <c r="D21" s="168">
        <v>0</v>
      </c>
      <c r="E21" s="168">
        <v>0</v>
      </c>
      <c r="F21" s="168">
        <v>0</v>
      </c>
      <c r="G21" s="168">
        <v>0</v>
      </c>
      <c r="H21" s="168">
        <v>0</v>
      </c>
      <c r="I21" s="168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18">
        <v>0</v>
      </c>
      <c r="U21" s="18">
        <v>0</v>
      </c>
      <c r="V21" s="31">
        <f t="shared" si="0"/>
        <v>0</v>
      </c>
      <c r="W21" s="19">
        <v>0</v>
      </c>
      <c r="X21" s="19">
        <v>0</v>
      </c>
    </row>
    <row r="22" spans="1:24" ht="15.75">
      <c r="A22" s="19">
        <v>19</v>
      </c>
      <c r="B22" s="20" t="s">
        <v>45</v>
      </c>
      <c r="C22" s="25" t="s">
        <v>34</v>
      </c>
      <c r="D22" s="168">
        <v>0</v>
      </c>
      <c r="E22" s="168">
        <v>0</v>
      </c>
      <c r="F22" s="168">
        <v>0</v>
      </c>
      <c r="G22" s="168">
        <v>0</v>
      </c>
      <c r="H22" s="168">
        <v>0</v>
      </c>
      <c r="I22" s="168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18">
        <v>0</v>
      </c>
      <c r="U22" s="18">
        <v>0</v>
      </c>
      <c r="V22" s="31">
        <f t="shared" si="0"/>
        <v>0</v>
      </c>
      <c r="W22" s="19">
        <v>0</v>
      </c>
      <c r="X22" s="19">
        <v>0</v>
      </c>
    </row>
    <row r="23" spans="1:24" ht="15.75">
      <c r="A23" s="19">
        <v>20</v>
      </c>
      <c r="B23" s="20" t="s">
        <v>45</v>
      </c>
      <c r="C23" s="25" t="s">
        <v>35</v>
      </c>
      <c r="D23" s="168">
        <v>0</v>
      </c>
      <c r="E23" s="168">
        <v>0</v>
      </c>
      <c r="F23" s="168">
        <v>0</v>
      </c>
      <c r="G23" s="168">
        <v>0</v>
      </c>
      <c r="H23" s="168">
        <v>0</v>
      </c>
      <c r="I23" s="168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18">
        <v>0</v>
      </c>
      <c r="U23" s="18">
        <v>0</v>
      </c>
      <c r="V23" s="31">
        <f t="shared" si="0"/>
        <v>0</v>
      </c>
      <c r="W23" s="19">
        <v>0</v>
      </c>
      <c r="X23" s="19">
        <v>0</v>
      </c>
    </row>
    <row r="24" spans="1:24" ht="15.75">
      <c r="A24" s="19">
        <v>21</v>
      </c>
      <c r="B24" s="20" t="s">
        <v>45</v>
      </c>
      <c r="C24" s="25" t="s">
        <v>36</v>
      </c>
      <c r="D24" s="168">
        <v>0</v>
      </c>
      <c r="E24" s="168">
        <v>0</v>
      </c>
      <c r="F24" s="168">
        <v>0</v>
      </c>
      <c r="G24" s="168">
        <v>0</v>
      </c>
      <c r="H24" s="168">
        <v>0</v>
      </c>
      <c r="I24" s="168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18">
        <v>0</v>
      </c>
      <c r="U24" s="18">
        <v>0</v>
      </c>
      <c r="V24" s="31">
        <f t="shared" si="0"/>
        <v>0</v>
      </c>
      <c r="W24" s="19">
        <v>0</v>
      </c>
      <c r="X24" s="19">
        <v>0</v>
      </c>
    </row>
    <row r="25" spans="1:24" ht="15.75">
      <c r="A25" s="19">
        <v>22</v>
      </c>
      <c r="B25" s="20" t="s">
        <v>45</v>
      </c>
      <c r="C25" s="25" t="s">
        <v>37</v>
      </c>
      <c r="D25" s="168">
        <v>0</v>
      </c>
      <c r="E25" s="168">
        <v>0</v>
      </c>
      <c r="F25" s="168">
        <v>0</v>
      </c>
      <c r="G25" s="168">
        <v>0</v>
      </c>
      <c r="H25" s="168">
        <v>0</v>
      </c>
      <c r="I25" s="168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18">
        <v>0</v>
      </c>
      <c r="U25" s="18">
        <v>0</v>
      </c>
      <c r="V25" s="31">
        <f t="shared" si="0"/>
        <v>0</v>
      </c>
      <c r="W25" s="19">
        <v>0</v>
      </c>
      <c r="X25" s="19">
        <v>0</v>
      </c>
    </row>
    <row r="26" spans="1:24" ht="15.75">
      <c r="A26" s="19">
        <v>23</v>
      </c>
      <c r="B26" s="20" t="s">
        <v>45</v>
      </c>
      <c r="C26" s="21" t="s">
        <v>38</v>
      </c>
      <c r="D26" s="169">
        <v>0</v>
      </c>
      <c r="E26" s="168">
        <v>0</v>
      </c>
      <c r="F26" s="168">
        <v>0</v>
      </c>
      <c r="G26" s="168">
        <v>0</v>
      </c>
      <c r="H26" s="168">
        <v>0</v>
      </c>
      <c r="I26" s="168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18">
        <v>0</v>
      </c>
      <c r="U26" s="18">
        <v>0</v>
      </c>
      <c r="V26" s="31">
        <f t="shared" si="0"/>
        <v>0</v>
      </c>
      <c r="W26" s="19">
        <v>0</v>
      </c>
      <c r="X26" s="19">
        <v>0</v>
      </c>
    </row>
    <row r="27" spans="1:24" ht="15.75">
      <c r="A27" s="19">
        <v>24</v>
      </c>
      <c r="B27" s="20" t="s">
        <v>45</v>
      </c>
      <c r="C27" s="21" t="s">
        <v>39</v>
      </c>
      <c r="D27" s="170">
        <v>0</v>
      </c>
      <c r="E27" s="168">
        <v>0</v>
      </c>
      <c r="F27" s="168">
        <v>0</v>
      </c>
      <c r="G27" s="168">
        <v>0</v>
      </c>
      <c r="H27" s="168">
        <v>0</v>
      </c>
      <c r="I27" s="168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18">
        <v>0</v>
      </c>
      <c r="U27" s="18">
        <v>0</v>
      </c>
      <c r="V27" s="31">
        <f t="shared" si="0"/>
        <v>0</v>
      </c>
      <c r="W27" s="19">
        <v>0</v>
      </c>
      <c r="X27" s="19">
        <v>0</v>
      </c>
    </row>
    <row r="28" spans="1:24" ht="15.75">
      <c r="A28" s="19">
        <v>25</v>
      </c>
      <c r="B28" s="20" t="s">
        <v>45</v>
      </c>
      <c r="C28" s="21" t="s">
        <v>40</v>
      </c>
      <c r="D28" s="170">
        <v>0</v>
      </c>
      <c r="E28" s="168">
        <v>0</v>
      </c>
      <c r="F28" s="168">
        <v>0</v>
      </c>
      <c r="G28" s="168">
        <v>0</v>
      </c>
      <c r="H28" s="168">
        <v>0</v>
      </c>
      <c r="I28" s="168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18">
        <v>0</v>
      </c>
      <c r="U28" s="18">
        <v>0</v>
      </c>
      <c r="V28" s="31">
        <f t="shared" si="0"/>
        <v>0</v>
      </c>
      <c r="W28" s="19">
        <v>0</v>
      </c>
      <c r="X28" s="19">
        <v>0</v>
      </c>
    </row>
    <row r="29" spans="1:24" ht="15.75">
      <c r="A29" s="19">
        <v>26</v>
      </c>
      <c r="B29" s="20" t="s">
        <v>45</v>
      </c>
      <c r="C29" s="21" t="s">
        <v>41</v>
      </c>
      <c r="D29" s="170">
        <v>0</v>
      </c>
      <c r="E29" s="168">
        <v>0</v>
      </c>
      <c r="F29" s="168">
        <v>0</v>
      </c>
      <c r="G29" s="168">
        <v>0</v>
      </c>
      <c r="H29" s="168">
        <v>0</v>
      </c>
      <c r="I29" s="168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18">
        <v>0</v>
      </c>
      <c r="U29" s="18">
        <v>0</v>
      </c>
      <c r="V29" s="31">
        <f t="shared" si="0"/>
        <v>0</v>
      </c>
      <c r="W29" s="19">
        <v>0</v>
      </c>
      <c r="X29" s="19">
        <v>0</v>
      </c>
    </row>
    <row r="30" spans="1:24" ht="15.75">
      <c r="A30" s="19">
        <v>27</v>
      </c>
      <c r="B30" s="20" t="s">
        <v>45</v>
      </c>
      <c r="C30" s="21" t="s">
        <v>42</v>
      </c>
      <c r="D30" s="170">
        <v>0</v>
      </c>
      <c r="E30" s="168">
        <v>0</v>
      </c>
      <c r="F30" s="168">
        <v>0</v>
      </c>
      <c r="G30" s="168">
        <v>0</v>
      </c>
      <c r="H30" s="168">
        <v>0</v>
      </c>
      <c r="I30" s="168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18">
        <v>0</v>
      </c>
      <c r="U30" s="18">
        <v>0</v>
      </c>
      <c r="V30" s="31">
        <f t="shared" si="0"/>
        <v>0</v>
      </c>
      <c r="W30" s="19">
        <v>0</v>
      </c>
      <c r="X30" s="19">
        <v>0</v>
      </c>
    </row>
    <row r="31" spans="1:24" ht="15.75">
      <c r="A31" s="19">
        <v>31</v>
      </c>
      <c r="B31" s="20" t="s">
        <v>45</v>
      </c>
      <c r="C31" s="21" t="s">
        <v>43</v>
      </c>
      <c r="D31" s="170">
        <v>0</v>
      </c>
      <c r="E31" s="168">
        <v>0</v>
      </c>
      <c r="F31" s="168">
        <v>0</v>
      </c>
      <c r="G31" s="168">
        <v>0</v>
      </c>
      <c r="H31" s="168">
        <v>0</v>
      </c>
      <c r="I31" s="168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18">
        <v>0</v>
      </c>
      <c r="U31" s="18">
        <v>0</v>
      </c>
      <c r="V31" s="31">
        <f t="shared" si="0"/>
        <v>0</v>
      </c>
      <c r="W31" s="20">
        <v>0</v>
      </c>
      <c r="X31" s="19">
        <v>0</v>
      </c>
    </row>
    <row r="32" spans="1:24" ht="15.75">
      <c r="A32" s="20"/>
      <c r="B32" s="20"/>
      <c r="C32" s="20"/>
      <c r="D32" s="171">
        <f t="shared" ref="D32:I32" si="2">SUM(D4:D31)</f>
        <v>39547</v>
      </c>
      <c r="E32" s="168">
        <f t="shared" si="2"/>
        <v>1665</v>
      </c>
      <c r="F32" s="168">
        <f t="shared" si="2"/>
        <v>39547</v>
      </c>
      <c r="G32" s="168">
        <f t="shared" si="2"/>
        <v>1665</v>
      </c>
      <c r="H32" s="168">
        <f t="shared" si="2"/>
        <v>39547</v>
      </c>
      <c r="I32" s="168">
        <f t="shared" si="2"/>
        <v>1665</v>
      </c>
      <c r="J32" s="174">
        <f t="shared" ref="J32:K32" si="3">SUM(J4:J31)</f>
        <v>39547</v>
      </c>
      <c r="K32" s="31">
        <f t="shared" si="3"/>
        <v>1665</v>
      </c>
      <c r="L32" s="31">
        <f t="shared" ref="L32:Q32" si="4">SUM(L4:L31)</f>
        <v>39547</v>
      </c>
      <c r="M32" s="31">
        <f t="shared" si="4"/>
        <v>1665</v>
      </c>
      <c r="N32" s="31">
        <f t="shared" si="4"/>
        <v>39547</v>
      </c>
      <c r="O32" s="31">
        <f t="shared" si="4"/>
        <v>1665</v>
      </c>
      <c r="P32" s="31">
        <f t="shared" si="4"/>
        <v>39547</v>
      </c>
      <c r="Q32" s="31">
        <f t="shared" si="4"/>
        <v>1665</v>
      </c>
      <c r="R32" s="31">
        <f t="shared" ref="R32:S32" si="5">SUM(R4:R31)</f>
        <v>39547</v>
      </c>
      <c r="S32" s="31">
        <f t="shared" si="5"/>
        <v>1665</v>
      </c>
      <c r="T32" s="18">
        <v>0</v>
      </c>
      <c r="U32" s="18">
        <v>0</v>
      </c>
      <c r="V32" s="34">
        <f>SUM(V4:V31)</f>
        <v>39547</v>
      </c>
      <c r="W32" s="28">
        <f>SUM(W4:W31)</f>
        <v>1665</v>
      </c>
      <c r="X32" s="28"/>
    </row>
    <row r="33" spans="1:24">
      <c r="A33" s="28"/>
      <c r="B33" s="28"/>
      <c r="C33" s="28"/>
      <c r="D33" s="28"/>
      <c r="E33" s="20" t="s">
        <v>44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8"/>
      <c r="X33" s="28"/>
    </row>
    <row r="34" spans="1:24">
      <c r="V34" s="36"/>
    </row>
    <row r="39" spans="1:24">
      <c r="V39" s="28"/>
    </row>
  </sheetData>
  <mergeCells count="9">
    <mergeCell ref="D2:E2"/>
    <mergeCell ref="A1:X1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  <pageSetup paperSize="9"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4"/>
  <sheetViews>
    <sheetView zoomScale="78" zoomScaleNormal="78" workbookViewId="0">
      <selection activeCell="T21" sqref="T21"/>
    </sheetView>
  </sheetViews>
  <sheetFormatPr defaultColWidth="9" defaultRowHeight="15"/>
  <cols>
    <col min="1" max="1" width="5.7109375" customWidth="1"/>
    <col min="2" max="2" width="14.140625" bestFit="1" customWidth="1"/>
    <col min="3" max="3" width="26" bestFit="1" customWidth="1"/>
    <col min="4" max="6" width="13.42578125" bestFit="1" customWidth="1"/>
    <col min="7" max="7" width="13.5703125" bestFit="1" customWidth="1"/>
    <col min="8" max="9" width="13.5703125" customWidth="1"/>
    <col min="10" max="10" width="12.5703125" bestFit="1" customWidth="1"/>
    <col min="11" max="11" width="12.7109375" customWidth="1"/>
    <col min="12" max="12" width="16.5703125" bestFit="1" customWidth="1"/>
    <col min="13" max="13" width="13.140625" customWidth="1"/>
    <col min="14" max="14" width="13" customWidth="1"/>
  </cols>
  <sheetData>
    <row r="1" spans="1:15" ht="21">
      <c r="A1" s="288" t="s">
        <v>108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5" ht="40.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162" t="s">
        <v>150</v>
      </c>
      <c r="K2" s="162" t="s">
        <v>150</v>
      </c>
      <c r="L2" s="108" t="s">
        <v>153</v>
      </c>
      <c r="M2" s="108"/>
      <c r="N2" s="108"/>
    </row>
    <row r="3" spans="1:15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111</v>
      </c>
      <c r="F3" s="17" t="s">
        <v>4</v>
      </c>
      <c r="G3" s="17" t="s">
        <v>111</v>
      </c>
      <c r="H3" s="17" t="s">
        <v>4</v>
      </c>
      <c r="I3" s="17" t="s">
        <v>111</v>
      </c>
      <c r="J3" s="18" t="s">
        <v>125</v>
      </c>
      <c r="K3" s="18" t="s">
        <v>8</v>
      </c>
      <c r="L3" s="17" t="s">
        <v>10</v>
      </c>
      <c r="M3" s="17" t="s">
        <v>59</v>
      </c>
      <c r="N3" s="20" t="s">
        <v>12</v>
      </c>
    </row>
    <row r="4" spans="1:15" ht="15.75">
      <c r="A4" s="19">
        <v>1</v>
      </c>
      <c r="B4" s="20" t="s">
        <v>48</v>
      </c>
      <c r="C4" s="21" t="s">
        <v>14</v>
      </c>
      <c r="D4" s="20">
        <v>94</v>
      </c>
      <c r="E4" s="20">
        <v>0</v>
      </c>
      <c r="F4" s="20">
        <v>94</v>
      </c>
      <c r="G4" s="20">
        <v>0</v>
      </c>
      <c r="H4" s="20">
        <v>94</v>
      </c>
      <c r="I4" s="20">
        <v>0</v>
      </c>
      <c r="J4" s="18"/>
      <c r="K4" s="22"/>
      <c r="L4" s="31">
        <f>(H4+J4)-K4</f>
        <v>94</v>
      </c>
      <c r="M4" s="31"/>
      <c r="N4" s="19" t="e">
        <f>L4/M4</f>
        <v>#DIV/0!</v>
      </c>
      <c r="O4" s="87"/>
    </row>
    <row r="5" spans="1:15" ht="15.75">
      <c r="A5" s="19">
        <v>2</v>
      </c>
      <c r="B5" s="20" t="s">
        <v>48</v>
      </c>
      <c r="C5" s="21" t="s">
        <v>15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18"/>
      <c r="K5" s="23"/>
      <c r="L5" s="31">
        <f t="shared" ref="L5:L31" si="0">(H5+J5)-K5</f>
        <v>0</v>
      </c>
      <c r="M5" s="31"/>
      <c r="N5" s="19" t="e">
        <f t="shared" ref="N5:N31" si="1">L5/M5</f>
        <v>#DIV/0!</v>
      </c>
    </row>
    <row r="6" spans="1:15" ht="15.75">
      <c r="A6" s="19">
        <v>3</v>
      </c>
      <c r="B6" s="20" t="s">
        <v>48</v>
      </c>
      <c r="C6" s="21" t="s">
        <v>16</v>
      </c>
      <c r="D6" s="20">
        <v>445</v>
      </c>
      <c r="E6" s="20">
        <v>12</v>
      </c>
      <c r="F6" s="20">
        <v>445</v>
      </c>
      <c r="G6" s="20">
        <v>12</v>
      </c>
      <c r="H6" s="20">
        <v>445</v>
      </c>
      <c r="I6" s="20">
        <v>12</v>
      </c>
      <c r="J6" s="18"/>
      <c r="K6" s="23"/>
      <c r="L6" s="31">
        <f t="shared" si="0"/>
        <v>445</v>
      </c>
      <c r="M6" s="31">
        <f>L6/37</f>
        <v>12.027027027027026</v>
      </c>
      <c r="N6" s="19">
        <f t="shared" si="1"/>
        <v>37</v>
      </c>
    </row>
    <row r="7" spans="1:15" ht="15.75">
      <c r="A7" s="19">
        <v>4</v>
      </c>
      <c r="B7" s="20" t="s">
        <v>48</v>
      </c>
      <c r="C7" s="21" t="s">
        <v>17</v>
      </c>
      <c r="D7" s="20">
        <v>85</v>
      </c>
      <c r="E7" s="20">
        <v>5</v>
      </c>
      <c r="F7" s="20">
        <v>85</v>
      </c>
      <c r="G7" s="20">
        <v>5</v>
      </c>
      <c r="H7" s="20">
        <v>85</v>
      </c>
      <c r="I7" s="20">
        <v>5</v>
      </c>
      <c r="J7" s="18"/>
      <c r="K7" s="23"/>
      <c r="L7" s="31">
        <f t="shared" si="0"/>
        <v>85</v>
      </c>
      <c r="M7" s="31">
        <f>L7/17</f>
        <v>5</v>
      </c>
      <c r="N7" s="19">
        <f t="shared" si="1"/>
        <v>17</v>
      </c>
    </row>
    <row r="8" spans="1:15" ht="15.75">
      <c r="A8" s="19">
        <v>5</v>
      </c>
      <c r="B8" s="20" t="s">
        <v>48</v>
      </c>
      <c r="C8" s="21" t="s">
        <v>18</v>
      </c>
      <c r="D8" s="20">
        <v>520</v>
      </c>
      <c r="E8" s="20">
        <v>39.5</v>
      </c>
      <c r="F8" s="20">
        <v>520</v>
      </c>
      <c r="G8" s="20">
        <v>39.5</v>
      </c>
      <c r="H8" s="20">
        <v>520</v>
      </c>
      <c r="I8" s="20">
        <v>39.5</v>
      </c>
      <c r="J8" s="18"/>
      <c r="K8" s="23"/>
      <c r="L8" s="31">
        <f t="shared" si="0"/>
        <v>520</v>
      </c>
      <c r="M8" s="174">
        <f>L8/5</f>
        <v>104</v>
      </c>
      <c r="N8" s="19">
        <f t="shared" si="1"/>
        <v>5</v>
      </c>
    </row>
    <row r="9" spans="1:15" ht="15.75">
      <c r="A9" s="19">
        <v>6</v>
      </c>
      <c r="B9" s="20" t="s">
        <v>48</v>
      </c>
      <c r="C9" s="21" t="s">
        <v>19</v>
      </c>
      <c r="D9" s="20">
        <v>100</v>
      </c>
      <c r="E9" s="20">
        <v>165</v>
      </c>
      <c r="F9" s="20">
        <v>100</v>
      </c>
      <c r="G9" s="20">
        <v>165</v>
      </c>
      <c r="H9" s="20">
        <v>100</v>
      </c>
      <c r="I9" s="20">
        <v>165</v>
      </c>
      <c r="J9" s="18"/>
      <c r="K9" s="23"/>
      <c r="L9" s="31">
        <f t="shared" si="0"/>
        <v>100</v>
      </c>
      <c r="M9" s="31">
        <f>L9/0.6</f>
        <v>166.66666666666669</v>
      </c>
      <c r="N9" s="19">
        <f t="shared" si="1"/>
        <v>0.6</v>
      </c>
    </row>
    <row r="10" spans="1:15" ht="15.75">
      <c r="A10" s="19">
        <v>7</v>
      </c>
      <c r="B10" s="20" t="s">
        <v>48</v>
      </c>
      <c r="C10" s="24" t="s">
        <v>20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18"/>
      <c r="K10" s="23"/>
      <c r="L10" s="31">
        <f t="shared" si="0"/>
        <v>0</v>
      </c>
      <c r="M10" s="31"/>
      <c r="N10" s="19" t="e">
        <f t="shared" si="1"/>
        <v>#DIV/0!</v>
      </c>
    </row>
    <row r="11" spans="1:15" ht="15.75">
      <c r="A11" s="19">
        <v>8</v>
      </c>
      <c r="B11" s="20" t="s">
        <v>48</v>
      </c>
      <c r="C11" s="24" t="s">
        <v>22</v>
      </c>
      <c r="D11" s="20">
        <v>28</v>
      </c>
      <c r="E11" s="20">
        <v>7</v>
      </c>
      <c r="F11" s="20">
        <v>28</v>
      </c>
      <c r="G11" s="20">
        <v>7</v>
      </c>
      <c r="H11" s="20">
        <v>28</v>
      </c>
      <c r="I11" s="20">
        <v>7</v>
      </c>
      <c r="J11" s="18"/>
      <c r="K11" s="23"/>
      <c r="L11" s="31">
        <f t="shared" si="0"/>
        <v>28</v>
      </c>
      <c r="M11" s="31">
        <f>L11/5</f>
        <v>5.6</v>
      </c>
      <c r="N11" s="19">
        <f t="shared" si="1"/>
        <v>5</v>
      </c>
    </row>
    <row r="12" spans="1:15" ht="15.75">
      <c r="A12" s="19">
        <v>9</v>
      </c>
      <c r="B12" s="20" t="s">
        <v>48</v>
      </c>
      <c r="C12" s="24" t="s">
        <v>23</v>
      </c>
      <c r="D12" s="20">
        <v>3</v>
      </c>
      <c r="E12" s="20">
        <v>2</v>
      </c>
      <c r="F12" s="20">
        <v>3</v>
      </c>
      <c r="G12" s="20">
        <v>2</v>
      </c>
      <c r="H12" s="20">
        <v>3</v>
      </c>
      <c r="I12" s="20">
        <v>2</v>
      </c>
      <c r="J12" s="18"/>
      <c r="K12" s="23"/>
      <c r="L12" s="31">
        <f t="shared" si="0"/>
        <v>3</v>
      </c>
      <c r="M12" s="31">
        <f>L12/5</f>
        <v>0.6</v>
      </c>
      <c r="N12" s="19">
        <f t="shared" si="1"/>
        <v>5</v>
      </c>
    </row>
    <row r="13" spans="1:15" ht="15.75">
      <c r="A13" s="19">
        <v>10</v>
      </c>
      <c r="B13" s="20" t="s">
        <v>48</v>
      </c>
      <c r="C13" s="24" t="s">
        <v>25</v>
      </c>
      <c r="D13" s="20">
        <v>550</v>
      </c>
      <c r="E13" s="20">
        <v>0</v>
      </c>
      <c r="F13" s="20">
        <v>550</v>
      </c>
      <c r="G13" s="20">
        <v>0</v>
      </c>
      <c r="H13" s="20">
        <v>550</v>
      </c>
      <c r="I13" s="20">
        <v>0</v>
      </c>
      <c r="J13" s="18"/>
      <c r="K13" s="23"/>
      <c r="L13" s="31">
        <f t="shared" si="0"/>
        <v>550</v>
      </c>
      <c r="M13" s="31"/>
      <c r="N13" s="19" t="e">
        <f t="shared" si="1"/>
        <v>#DIV/0!</v>
      </c>
    </row>
    <row r="14" spans="1:15" ht="15.75">
      <c r="A14" s="19">
        <v>11</v>
      </c>
      <c r="B14" s="20" t="s">
        <v>48</v>
      </c>
      <c r="C14" s="24" t="s">
        <v>26</v>
      </c>
      <c r="D14" s="20">
        <v>15</v>
      </c>
      <c r="E14" s="20">
        <v>0</v>
      </c>
      <c r="F14" s="20">
        <v>15</v>
      </c>
      <c r="G14" s="20">
        <v>0</v>
      </c>
      <c r="H14" s="20">
        <v>15</v>
      </c>
      <c r="I14" s="20">
        <v>0</v>
      </c>
      <c r="J14" s="18"/>
      <c r="K14" s="23"/>
      <c r="L14" s="31">
        <f t="shared" si="0"/>
        <v>15</v>
      </c>
      <c r="M14" s="31"/>
      <c r="N14" s="19" t="e">
        <f t="shared" si="1"/>
        <v>#DIV/0!</v>
      </c>
    </row>
    <row r="15" spans="1:15" ht="15.75">
      <c r="A15" s="19">
        <v>12</v>
      </c>
      <c r="B15" s="20" t="s">
        <v>48</v>
      </c>
      <c r="C15" s="21" t="s">
        <v>27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18"/>
      <c r="K15" s="23"/>
      <c r="L15" s="31">
        <f t="shared" si="0"/>
        <v>0</v>
      </c>
      <c r="M15" s="31"/>
      <c r="N15" s="19" t="e">
        <f t="shared" si="1"/>
        <v>#DIV/0!</v>
      </c>
    </row>
    <row r="16" spans="1:15" ht="15.75">
      <c r="A16" s="19">
        <v>13</v>
      </c>
      <c r="B16" s="20" t="s">
        <v>48</v>
      </c>
      <c r="C16" s="25" t="s">
        <v>28</v>
      </c>
      <c r="D16" s="20">
        <v>48</v>
      </c>
      <c r="E16" s="20">
        <v>3</v>
      </c>
      <c r="F16" s="20">
        <v>48</v>
      </c>
      <c r="G16" s="20">
        <v>3</v>
      </c>
      <c r="H16" s="20">
        <v>48</v>
      </c>
      <c r="I16" s="20">
        <v>3</v>
      </c>
      <c r="J16" s="18"/>
      <c r="K16" s="23"/>
      <c r="L16" s="31">
        <f t="shared" si="0"/>
        <v>48</v>
      </c>
      <c r="M16" s="31">
        <f>L16/17</f>
        <v>2.8235294117647061</v>
      </c>
      <c r="N16" s="19">
        <f t="shared" si="1"/>
        <v>17</v>
      </c>
    </row>
    <row r="17" spans="1:14" ht="15.75">
      <c r="A17" s="19">
        <v>14</v>
      </c>
      <c r="B17" s="20" t="s">
        <v>48</v>
      </c>
      <c r="C17" s="25" t="s">
        <v>29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18"/>
      <c r="K17" s="23"/>
      <c r="L17" s="31">
        <f t="shared" si="0"/>
        <v>0</v>
      </c>
      <c r="M17" s="31"/>
      <c r="N17" s="19" t="e">
        <f t="shared" si="1"/>
        <v>#DIV/0!</v>
      </c>
    </row>
    <row r="18" spans="1:14" ht="15.75">
      <c r="A18" s="19">
        <v>15</v>
      </c>
      <c r="B18" s="20" t="s">
        <v>48</v>
      </c>
      <c r="C18" s="25" t="s">
        <v>30</v>
      </c>
      <c r="D18" s="20">
        <v>36</v>
      </c>
      <c r="E18" s="20">
        <v>0</v>
      </c>
      <c r="F18" s="20">
        <v>36</v>
      </c>
      <c r="G18" s="20">
        <v>0</v>
      </c>
      <c r="H18" s="20">
        <v>36</v>
      </c>
      <c r="I18" s="20">
        <v>0</v>
      </c>
      <c r="J18" s="18"/>
      <c r="K18" s="23"/>
      <c r="L18" s="31">
        <f t="shared" si="0"/>
        <v>36</v>
      </c>
      <c r="M18" s="31"/>
      <c r="N18" s="19" t="e">
        <f t="shared" si="1"/>
        <v>#DIV/0!</v>
      </c>
    </row>
    <row r="19" spans="1:14" ht="15.75">
      <c r="A19" s="19">
        <v>16</v>
      </c>
      <c r="B19" s="20" t="s">
        <v>48</v>
      </c>
      <c r="C19" s="25" t="s">
        <v>31</v>
      </c>
      <c r="D19" s="20">
        <v>92</v>
      </c>
      <c r="E19" s="20">
        <v>0</v>
      </c>
      <c r="F19" s="20">
        <v>92</v>
      </c>
      <c r="G19" s="20">
        <v>0</v>
      </c>
      <c r="H19" s="20">
        <v>92</v>
      </c>
      <c r="I19" s="20">
        <v>0</v>
      </c>
      <c r="J19" s="18"/>
      <c r="K19" s="23"/>
      <c r="L19" s="31">
        <f t="shared" si="0"/>
        <v>92</v>
      </c>
      <c r="M19" s="31"/>
      <c r="N19" s="19" t="e">
        <f t="shared" si="1"/>
        <v>#DIV/0!</v>
      </c>
    </row>
    <row r="20" spans="1:14" ht="15.75">
      <c r="A20" s="19">
        <v>17</v>
      </c>
      <c r="B20" s="20" t="s">
        <v>48</v>
      </c>
      <c r="C20" s="25" t="s">
        <v>32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18"/>
      <c r="K20" s="23"/>
      <c r="L20" s="31">
        <f t="shared" si="0"/>
        <v>0</v>
      </c>
      <c r="M20" s="31"/>
      <c r="N20" s="19" t="e">
        <f t="shared" si="1"/>
        <v>#DIV/0!</v>
      </c>
    </row>
    <row r="21" spans="1:14" ht="15.75">
      <c r="A21" s="19">
        <v>18</v>
      </c>
      <c r="B21" s="20" t="s">
        <v>48</v>
      </c>
      <c r="C21" s="25" t="s">
        <v>33</v>
      </c>
      <c r="D21" s="20">
        <v>78</v>
      </c>
      <c r="E21" s="20">
        <v>0</v>
      </c>
      <c r="F21" s="20">
        <v>78</v>
      </c>
      <c r="G21" s="20">
        <v>0</v>
      </c>
      <c r="H21" s="20">
        <v>78</v>
      </c>
      <c r="I21" s="20">
        <v>0</v>
      </c>
      <c r="J21" s="18"/>
      <c r="K21" s="23"/>
      <c r="L21" s="31">
        <f t="shared" si="0"/>
        <v>78</v>
      </c>
      <c r="M21" s="31"/>
      <c r="N21" s="19" t="e">
        <f t="shared" si="1"/>
        <v>#DIV/0!</v>
      </c>
    </row>
    <row r="22" spans="1:14" ht="15.75">
      <c r="A22" s="19">
        <v>19</v>
      </c>
      <c r="B22" s="20" t="s">
        <v>48</v>
      </c>
      <c r="C22" s="25" t="s">
        <v>34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18"/>
      <c r="K22" s="23"/>
      <c r="L22" s="31">
        <f t="shared" si="0"/>
        <v>0</v>
      </c>
      <c r="M22" s="31"/>
      <c r="N22" s="19" t="e">
        <f t="shared" si="1"/>
        <v>#DIV/0!</v>
      </c>
    </row>
    <row r="23" spans="1:14" ht="15.75">
      <c r="A23" s="19">
        <v>20</v>
      </c>
      <c r="B23" s="20" t="s">
        <v>48</v>
      </c>
      <c r="C23" s="25" t="s">
        <v>35</v>
      </c>
      <c r="D23" s="20">
        <v>1257</v>
      </c>
      <c r="E23" s="20">
        <v>0</v>
      </c>
      <c r="F23" s="20">
        <v>1257</v>
      </c>
      <c r="G23" s="20">
        <v>0</v>
      </c>
      <c r="H23" s="20">
        <v>1257</v>
      </c>
      <c r="I23" s="20">
        <v>0</v>
      </c>
      <c r="J23" s="18"/>
      <c r="K23" s="23"/>
      <c r="L23" s="31">
        <f t="shared" si="0"/>
        <v>1257</v>
      </c>
      <c r="M23" s="31"/>
      <c r="N23" s="19" t="e">
        <f t="shared" si="1"/>
        <v>#DIV/0!</v>
      </c>
    </row>
    <row r="24" spans="1:14" ht="15.75">
      <c r="A24" s="19">
        <v>21</v>
      </c>
      <c r="B24" s="20" t="s">
        <v>48</v>
      </c>
      <c r="C24" s="25" t="s">
        <v>36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8"/>
      <c r="K24" s="23"/>
      <c r="L24" s="31">
        <f t="shared" si="0"/>
        <v>0</v>
      </c>
      <c r="M24" s="31"/>
      <c r="N24" s="19" t="e">
        <f t="shared" si="1"/>
        <v>#DIV/0!</v>
      </c>
    </row>
    <row r="25" spans="1:14" ht="15.75">
      <c r="A25" s="19">
        <v>22</v>
      </c>
      <c r="B25" s="20" t="s">
        <v>48</v>
      </c>
      <c r="C25" s="25" t="s">
        <v>37</v>
      </c>
      <c r="D25" s="20">
        <v>207</v>
      </c>
      <c r="E25" s="20">
        <v>0</v>
      </c>
      <c r="F25" s="20">
        <v>207</v>
      </c>
      <c r="G25" s="20">
        <v>0</v>
      </c>
      <c r="H25" s="20">
        <v>207</v>
      </c>
      <c r="I25" s="20">
        <v>0</v>
      </c>
      <c r="J25" s="18"/>
      <c r="K25" s="23"/>
      <c r="L25" s="31">
        <f t="shared" si="0"/>
        <v>207</v>
      </c>
      <c r="M25" s="31"/>
      <c r="N25" s="19" t="e">
        <f t="shared" si="1"/>
        <v>#DIV/0!</v>
      </c>
    </row>
    <row r="26" spans="1:14" ht="15.75">
      <c r="A26" s="19">
        <v>23</v>
      </c>
      <c r="B26" s="20" t="s">
        <v>48</v>
      </c>
      <c r="C26" s="21" t="s">
        <v>38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18"/>
      <c r="K26" s="23"/>
      <c r="L26" s="31">
        <f t="shared" si="0"/>
        <v>0</v>
      </c>
      <c r="M26" s="31"/>
      <c r="N26" s="19" t="e">
        <f t="shared" si="1"/>
        <v>#DIV/0!</v>
      </c>
    </row>
    <row r="27" spans="1:14" ht="15.75">
      <c r="A27" s="19">
        <v>24</v>
      </c>
      <c r="B27" s="20" t="s">
        <v>48</v>
      </c>
      <c r="C27" s="21" t="s">
        <v>39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18"/>
      <c r="K27" s="23"/>
      <c r="L27" s="31">
        <f t="shared" si="0"/>
        <v>0</v>
      </c>
      <c r="M27" s="31"/>
      <c r="N27" s="19" t="e">
        <f t="shared" si="1"/>
        <v>#DIV/0!</v>
      </c>
    </row>
    <row r="28" spans="1:14" ht="15.75">
      <c r="A28" s="19">
        <v>25</v>
      </c>
      <c r="B28" s="20" t="s">
        <v>48</v>
      </c>
      <c r="C28" s="21" t="s">
        <v>40</v>
      </c>
      <c r="D28" s="20">
        <v>2</v>
      </c>
      <c r="E28" s="20">
        <v>3</v>
      </c>
      <c r="F28" s="20">
        <v>2</v>
      </c>
      <c r="G28" s="20">
        <v>3</v>
      </c>
      <c r="H28" s="20">
        <v>2</v>
      </c>
      <c r="I28" s="20">
        <v>3</v>
      </c>
      <c r="J28" s="18"/>
      <c r="K28" s="23"/>
      <c r="L28" s="31">
        <f t="shared" si="0"/>
        <v>2</v>
      </c>
      <c r="M28" s="31">
        <f>L28/0.4</f>
        <v>5</v>
      </c>
      <c r="N28" s="19">
        <f t="shared" si="1"/>
        <v>0.4</v>
      </c>
    </row>
    <row r="29" spans="1:14" ht="15.75">
      <c r="A29" s="19">
        <v>26</v>
      </c>
      <c r="B29" s="20" t="s">
        <v>48</v>
      </c>
      <c r="C29" s="21" t="s">
        <v>41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18"/>
      <c r="K29" s="29"/>
      <c r="L29" s="31">
        <f t="shared" si="0"/>
        <v>0</v>
      </c>
      <c r="M29" s="31"/>
      <c r="N29" s="19" t="e">
        <f t="shared" si="1"/>
        <v>#DIV/0!</v>
      </c>
    </row>
    <row r="30" spans="1:14" ht="15.75">
      <c r="A30" s="19">
        <v>27</v>
      </c>
      <c r="B30" s="20" t="s">
        <v>48</v>
      </c>
      <c r="C30" s="21" t="s">
        <v>42</v>
      </c>
      <c r="D30" s="20">
        <f>E30*0.6</f>
        <v>0</v>
      </c>
      <c r="E30" s="20"/>
      <c r="F30" s="20">
        <f>G30*0.6</f>
        <v>0</v>
      </c>
      <c r="G30" s="20"/>
      <c r="H30" s="20">
        <f>I30*0.6</f>
        <v>0</v>
      </c>
      <c r="I30" s="20"/>
      <c r="J30" s="18"/>
      <c r="K30" s="29"/>
      <c r="L30" s="31">
        <f t="shared" si="0"/>
        <v>0</v>
      </c>
      <c r="M30" s="31"/>
      <c r="N30" s="19" t="e">
        <f t="shared" si="1"/>
        <v>#DIV/0!</v>
      </c>
    </row>
    <row r="31" spans="1:14" ht="15.75">
      <c r="A31" s="19">
        <v>31</v>
      </c>
      <c r="B31" s="20" t="s">
        <v>48</v>
      </c>
      <c r="C31" s="21" t="s">
        <v>43</v>
      </c>
      <c r="D31" s="20">
        <v>0</v>
      </c>
      <c r="E31" s="20">
        <v>259</v>
      </c>
      <c r="F31" s="20">
        <v>0</v>
      </c>
      <c r="G31" s="20">
        <v>259</v>
      </c>
      <c r="H31" s="20">
        <v>0</v>
      </c>
      <c r="I31" s="20">
        <v>259</v>
      </c>
      <c r="J31" s="18"/>
      <c r="K31" s="29"/>
      <c r="L31" s="31">
        <f t="shared" si="0"/>
        <v>0</v>
      </c>
      <c r="M31" s="31"/>
      <c r="N31" s="19" t="e">
        <f t="shared" si="1"/>
        <v>#DIV/0!</v>
      </c>
    </row>
    <row r="32" spans="1:14" ht="15.75">
      <c r="A32" s="20"/>
      <c r="B32" s="20"/>
      <c r="C32" s="172" t="s">
        <v>110</v>
      </c>
      <c r="D32" s="175">
        <f>SUM(D4:D31)</f>
        <v>3560</v>
      </c>
      <c r="E32" s="20">
        <f t="shared" ref="E32:I32" si="2">SUM(E4:E31)</f>
        <v>495.5</v>
      </c>
      <c r="F32" s="20">
        <f t="shared" si="2"/>
        <v>3560</v>
      </c>
      <c r="G32" s="19">
        <f t="shared" si="2"/>
        <v>495.5</v>
      </c>
      <c r="H32" s="176">
        <f t="shared" si="2"/>
        <v>3560</v>
      </c>
      <c r="I32" s="19">
        <f t="shared" si="2"/>
        <v>495.5</v>
      </c>
      <c r="J32" s="18"/>
      <c r="K32" s="22"/>
      <c r="L32" s="177">
        <f>SUM(L4:L31)</f>
        <v>3560</v>
      </c>
      <c r="M32" s="34"/>
      <c r="N32" s="19"/>
    </row>
    <row r="33" spans="1:14">
      <c r="A33" s="28"/>
      <c r="B33" s="28"/>
      <c r="C33" s="28"/>
      <c r="D33" s="20"/>
      <c r="E33" s="20"/>
      <c r="F33" s="28"/>
      <c r="G33" s="28"/>
      <c r="H33" s="28"/>
      <c r="I33" s="28"/>
      <c r="J33" s="28"/>
      <c r="K33" s="20"/>
      <c r="L33" s="20"/>
      <c r="M33" s="20"/>
      <c r="N33" s="28"/>
    </row>
    <row r="34" spans="1:14">
      <c r="L34" s="36"/>
      <c r="M34" s="36"/>
    </row>
  </sheetData>
  <mergeCells count="4">
    <mergeCell ref="A1:N1"/>
    <mergeCell ref="D2:E2"/>
    <mergeCell ref="F2:G2"/>
    <mergeCell ref="H2:I2"/>
  </mergeCells>
  <pageMargins left="0.7" right="0.56999999999999995" top="0.75" bottom="0.75" header="0.3" footer="0.3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5"/>
  <sheetViews>
    <sheetView zoomScale="86" zoomScaleNormal="86" workbookViewId="0">
      <selection activeCell="F20" sqref="F20"/>
    </sheetView>
  </sheetViews>
  <sheetFormatPr defaultColWidth="9" defaultRowHeight="15"/>
  <cols>
    <col min="2" max="2" width="14.140625" customWidth="1"/>
    <col min="3" max="3" width="26" customWidth="1"/>
    <col min="4" max="4" width="13.42578125" bestFit="1" customWidth="1"/>
    <col min="5" max="5" width="13.42578125" customWidth="1"/>
    <col min="6" max="6" width="13.42578125" bestFit="1" customWidth="1"/>
    <col min="7" max="7" width="12.7109375" bestFit="1" customWidth="1"/>
    <col min="8" max="9" width="11.7109375" customWidth="1"/>
    <col min="10" max="10" width="13.28515625" bestFit="1" customWidth="1"/>
    <col min="11" max="11" width="12.7109375" bestFit="1" customWidth="1"/>
    <col min="12" max="12" width="16.42578125" bestFit="1" customWidth="1"/>
    <col min="13" max="13" width="10.140625" customWidth="1"/>
    <col min="14" max="14" width="14.140625" customWidth="1"/>
  </cols>
  <sheetData>
    <row r="1" spans="1:15" ht="21">
      <c r="A1" s="288" t="s">
        <v>108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5" ht="46.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162" t="s">
        <v>150</v>
      </c>
      <c r="K2" s="162" t="s">
        <v>150</v>
      </c>
      <c r="L2" s="108" t="s">
        <v>153</v>
      </c>
      <c r="M2" s="108"/>
      <c r="N2" s="108"/>
    </row>
    <row r="3" spans="1:15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8" t="s">
        <v>125</v>
      </c>
      <c r="K3" s="18" t="s">
        <v>8</v>
      </c>
      <c r="L3" s="17" t="s">
        <v>10</v>
      </c>
      <c r="M3" s="17" t="s">
        <v>11</v>
      </c>
      <c r="N3" s="20" t="s">
        <v>12</v>
      </c>
    </row>
    <row r="4" spans="1:15" ht="15.75">
      <c r="A4" s="19">
        <v>1</v>
      </c>
      <c r="B4" s="20" t="s">
        <v>49</v>
      </c>
      <c r="C4" s="21" t="s">
        <v>14</v>
      </c>
      <c r="D4" s="20">
        <v>86</v>
      </c>
      <c r="E4" s="20">
        <v>0</v>
      </c>
      <c r="F4" s="20">
        <v>86</v>
      </c>
      <c r="G4" s="20">
        <v>0</v>
      </c>
      <c r="H4" s="20">
        <v>86</v>
      </c>
      <c r="I4" s="20">
        <v>0</v>
      </c>
      <c r="J4" s="18"/>
      <c r="K4" s="22"/>
      <c r="L4" s="20">
        <f>(H4+J4)-K4</f>
        <v>86</v>
      </c>
      <c r="M4" s="31">
        <v>0</v>
      </c>
      <c r="N4" s="19" t="e">
        <f>L4/M4</f>
        <v>#DIV/0!</v>
      </c>
      <c r="O4" s="87"/>
    </row>
    <row r="5" spans="1:15" ht="15.75">
      <c r="A5" s="19">
        <v>2</v>
      </c>
      <c r="B5" s="20" t="s">
        <v>49</v>
      </c>
      <c r="C5" s="21" t="s">
        <v>15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18"/>
      <c r="K5" s="23"/>
      <c r="L5" s="20">
        <f t="shared" ref="L5:L31" si="0">(H5+J5)-K5</f>
        <v>0</v>
      </c>
      <c r="M5" s="31">
        <v>0</v>
      </c>
      <c r="N5" s="19" t="e">
        <f t="shared" ref="N5:N31" si="1">L5/M5</f>
        <v>#DIV/0!</v>
      </c>
    </row>
    <row r="6" spans="1:15" ht="15.75">
      <c r="A6" s="19">
        <v>3</v>
      </c>
      <c r="B6" s="20" t="s">
        <v>49</v>
      </c>
      <c r="C6" s="21" t="s">
        <v>16</v>
      </c>
      <c r="D6" s="20">
        <v>444</v>
      </c>
      <c r="E6" s="20">
        <v>12</v>
      </c>
      <c r="F6" s="20">
        <v>444</v>
      </c>
      <c r="G6" s="20">
        <v>12</v>
      </c>
      <c r="H6" s="20">
        <v>444</v>
      </c>
      <c r="I6" s="20">
        <v>12</v>
      </c>
      <c r="J6" s="18"/>
      <c r="K6" s="23"/>
      <c r="L6" s="20">
        <f t="shared" si="0"/>
        <v>444</v>
      </c>
      <c r="M6" s="31">
        <f>L6/37</f>
        <v>12</v>
      </c>
      <c r="N6" s="19">
        <f t="shared" si="1"/>
        <v>37</v>
      </c>
    </row>
    <row r="7" spans="1:15" ht="15.75">
      <c r="A7" s="19">
        <v>4</v>
      </c>
      <c r="B7" s="20" t="s">
        <v>49</v>
      </c>
      <c r="C7" s="21" t="s">
        <v>17</v>
      </c>
      <c r="D7" s="20">
        <v>119</v>
      </c>
      <c r="E7" s="20">
        <v>7</v>
      </c>
      <c r="F7" s="20">
        <v>119</v>
      </c>
      <c r="G7" s="20">
        <v>7</v>
      </c>
      <c r="H7" s="20">
        <v>119</v>
      </c>
      <c r="I7" s="20">
        <v>7</v>
      </c>
      <c r="J7" s="18"/>
      <c r="K7" s="23"/>
      <c r="L7" s="20">
        <f t="shared" si="0"/>
        <v>119</v>
      </c>
      <c r="M7" s="31">
        <f>L7/17</f>
        <v>7</v>
      </c>
      <c r="N7" s="19">
        <f t="shared" si="1"/>
        <v>17</v>
      </c>
    </row>
    <row r="8" spans="1:15" ht="15.75">
      <c r="A8" s="19">
        <v>5</v>
      </c>
      <c r="B8" s="20" t="s">
        <v>49</v>
      </c>
      <c r="C8" s="21" t="s">
        <v>18</v>
      </c>
      <c r="D8" s="20">
        <v>390</v>
      </c>
      <c r="E8" s="20">
        <v>39</v>
      </c>
      <c r="F8" s="20">
        <v>390</v>
      </c>
      <c r="G8" s="20">
        <v>39</v>
      </c>
      <c r="H8" s="20">
        <v>390</v>
      </c>
      <c r="I8" s="20">
        <v>39</v>
      </c>
      <c r="J8" s="18"/>
      <c r="K8" s="23"/>
      <c r="L8" s="20">
        <f t="shared" si="0"/>
        <v>390</v>
      </c>
      <c r="M8" s="31">
        <f>L8/5</f>
        <v>78</v>
      </c>
      <c r="N8" s="19">
        <f t="shared" si="1"/>
        <v>5</v>
      </c>
    </row>
    <row r="9" spans="1:15" ht="15.75">
      <c r="A9" s="19">
        <v>6</v>
      </c>
      <c r="B9" s="20" t="s">
        <v>49</v>
      </c>
      <c r="C9" s="21" t="s">
        <v>19</v>
      </c>
      <c r="D9" s="20">
        <v>101.4</v>
      </c>
      <c r="E9" s="20">
        <v>167</v>
      </c>
      <c r="F9" s="20">
        <v>101.4</v>
      </c>
      <c r="G9" s="20">
        <v>167</v>
      </c>
      <c r="H9" s="20">
        <v>101.4</v>
      </c>
      <c r="I9" s="20">
        <v>167</v>
      </c>
      <c r="J9" s="18"/>
      <c r="K9" s="23"/>
      <c r="L9" s="20">
        <f t="shared" si="0"/>
        <v>101.4</v>
      </c>
      <c r="M9" s="31">
        <f>L9/0.6</f>
        <v>169.00000000000003</v>
      </c>
      <c r="N9" s="19">
        <f t="shared" si="1"/>
        <v>0.6</v>
      </c>
    </row>
    <row r="10" spans="1:15" ht="15.75">
      <c r="A10" s="19">
        <v>7</v>
      </c>
      <c r="B10" s="20" t="s">
        <v>49</v>
      </c>
      <c r="C10" s="24" t="s">
        <v>20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18"/>
      <c r="K10" s="23"/>
      <c r="L10" s="20">
        <f t="shared" si="0"/>
        <v>0</v>
      </c>
      <c r="M10" s="31">
        <f>L10/5</f>
        <v>0</v>
      </c>
      <c r="N10" s="19" t="e">
        <f t="shared" si="1"/>
        <v>#DIV/0!</v>
      </c>
    </row>
    <row r="11" spans="1:15" ht="15.75">
      <c r="A11" s="19">
        <v>8</v>
      </c>
      <c r="B11" s="20" t="s">
        <v>49</v>
      </c>
      <c r="C11" s="24" t="s">
        <v>22</v>
      </c>
      <c r="D11" s="20">
        <v>16</v>
      </c>
      <c r="E11" s="20">
        <v>4</v>
      </c>
      <c r="F11" s="20">
        <v>16</v>
      </c>
      <c r="G11" s="20">
        <v>4</v>
      </c>
      <c r="H11" s="20">
        <v>16</v>
      </c>
      <c r="I11" s="20">
        <v>4</v>
      </c>
      <c r="J11" s="18"/>
      <c r="K11" s="23"/>
      <c r="L11" s="20">
        <f t="shared" si="0"/>
        <v>16</v>
      </c>
      <c r="M11" s="31">
        <f>L11/5</f>
        <v>3.2</v>
      </c>
      <c r="N11" s="19">
        <f t="shared" si="1"/>
        <v>5</v>
      </c>
    </row>
    <row r="12" spans="1:15" ht="15.75">
      <c r="A12" s="19">
        <v>9</v>
      </c>
      <c r="B12" s="20" t="s">
        <v>49</v>
      </c>
      <c r="C12" s="24" t="s">
        <v>23</v>
      </c>
      <c r="D12" s="20">
        <v>2</v>
      </c>
      <c r="E12" s="20">
        <v>2</v>
      </c>
      <c r="F12" s="20">
        <v>2</v>
      </c>
      <c r="G12" s="20">
        <v>2</v>
      </c>
      <c r="H12" s="20">
        <v>2</v>
      </c>
      <c r="I12" s="20">
        <v>2</v>
      </c>
      <c r="J12" s="18"/>
      <c r="K12" s="23"/>
      <c r="L12" s="20">
        <f t="shared" si="0"/>
        <v>2</v>
      </c>
      <c r="M12" s="31">
        <f>L12/0.8</f>
        <v>2.5</v>
      </c>
      <c r="N12" s="19">
        <f t="shared" si="1"/>
        <v>0.8</v>
      </c>
    </row>
    <row r="13" spans="1:15" ht="15.75">
      <c r="A13" s="19">
        <v>10</v>
      </c>
      <c r="B13" s="20" t="s">
        <v>49</v>
      </c>
      <c r="C13" s="24" t="s">
        <v>25</v>
      </c>
      <c r="D13" s="20">
        <v>550</v>
      </c>
      <c r="E13" s="20">
        <v>0</v>
      </c>
      <c r="F13" s="20">
        <v>550</v>
      </c>
      <c r="G13" s="20">
        <v>0</v>
      </c>
      <c r="H13" s="20">
        <v>550</v>
      </c>
      <c r="I13" s="20">
        <v>0</v>
      </c>
      <c r="J13" s="18"/>
      <c r="K13" s="23"/>
      <c r="L13" s="20">
        <f t="shared" si="0"/>
        <v>550</v>
      </c>
      <c r="M13" s="31">
        <v>0</v>
      </c>
      <c r="N13" s="19" t="e">
        <f t="shared" si="1"/>
        <v>#DIV/0!</v>
      </c>
    </row>
    <row r="14" spans="1:15" ht="15.75">
      <c r="A14" s="19">
        <v>11</v>
      </c>
      <c r="B14" s="20" t="s">
        <v>49</v>
      </c>
      <c r="C14" s="24" t="s">
        <v>26</v>
      </c>
      <c r="D14" s="20">
        <v>10</v>
      </c>
      <c r="E14" s="20">
        <v>0</v>
      </c>
      <c r="F14" s="20">
        <v>10</v>
      </c>
      <c r="G14" s="20">
        <v>0</v>
      </c>
      <c r="H14" s="20">
        <v>10</v>
      </c>
      <c r="I14" s="20">
        <v>0</v>
      </c>
      <c r="J14" s="18"/>
      <c r="K14" s="23"/>
      <c r="L14" s="20">
        <f t="shared" si="0"/>
        <v>10</v>
      </c>
      <c r="M14" s="31">
        <v>0</v>
      </c>
      <c r="N14" s="19" t="e">
        <f t="shared" si="1"/>
        <v>#DIV/0!</v>
      </c>
    </row>
    <row r="15" spans="1:15" ht="15.75">
      <c r="A15" s="19">
        <v>12</v>
      </c>
      <c r="B15" s="20" t="s">
        <v>49</v>
      </c>
      <c r="C15" s="21" t="s">
        <v>27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18"/>
      <c r="K15" s="23"/>
      <c r="L15" s="20">
        <f t="shared" si="0"/>
        <v>0</v>
      </c>
      <c r="M15" s="31">
        <v>0</v>
      </c>
      <c r="N15" s="19" t="e">
        <f t="shared" si="1"/>
        <v>#DIV/0!</v>
      </c>
    </row>
    <row r="16" spans="1:15" ht="15.75">
      <c r="A16" s="19">
        <v>13</v>
      </c>
      <c r="B16" s="20" t="s">
        <v>49</v>
      </c>
      <c r="C16" s="25" t="s">
        <v>28</v>
      </c>
      <c r="D16" s="20">
        <v>48</v>
      </c>
      <c r="E16" s="20">
        <v>3</v>
      </c>
      <c r="F16" s="20">
        <v>48</v>
      </c>
      <c r="G16" s="20">
        <v>3</v>
      </c>
      <c r="H16" s="20">
        <v>48</v>
      </c>
      <c r="I16" s="20">
        <v>3</v>
      </c>
      <c r="J16" s="18"/>
      <c r="K16" s="23"/>
      <c r="L16" s="20">
        <f t="shared" si="0"/>
        <v>48</v>
      </c>
      <c r="M16" s="31">
        <f>L16/17</f>
        <v>2.8235294117647061</v>
      </c>
      <c r="N16" s="19">
        <f t="shared" si="1"/>
        <v>17</v>
      </c>
    </row>
    <row r="17" spans="1:14" ht="15.75">
      <c r="A17" s="19">
        <v>14</v>
      </c>
      <c r="B17" s="20" t="s">
        <v>49</v>
      </c>
      <c r="C17" s="25" t="s">
        <v>29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18"/>
      <c r="K17" s="23"/>
      <c r="L17" s="20">
        <f t="shared" si="0"/>
        <v>0</v>
      </c>
      <c r="M17" s="31">
        <v>0</v>
      </c>
      <c r="N17" s="19" t="e">
        <f t="shared" si="1"/>
        <v>#DIV/0!</v>
      </c>
    </row>
    <row r="18" spans="1:14" ht="15.75">
      <c r="A18" s="19">
        <v>15</v>
      </c>
      <c r="B18" s="20" t="s">
        <v>49</v>
      </c>
      <c r="C18" s="25" t="s">
        <v>30</v>
      </c>
      <c r="D18" s="20">
        <v>709</v>
      </c>
      <c r="E18" s="20">
        <v>0</v>
      </c>
      <c r="F18" s="20">
        <v>709</v>
      </c>
      <c r="G18" s="20">
        <v>0</v>
      </c>
      <c r="H18" s="20">
        <v>709</v>
      </c>
      <c r="I18" s="20">
        <v>0</v>
      </c>
      <c r="J18" s="18"/>
      <c r="K18" s="23"/>
      <c r="L18" s="20">
        <f t="shared" si="0"/>
        <v>709</v>
      </c>
      <c r="M18" s="31">
        <v>0</v>
      </c>
      <c r="N18" s="19" t="e">
        <f t="shared" si="1"/>
        <v>#DIV/0!</v>
      </c>
    </row>
    <row r="19" spans="1:14" ht="15.75">
      <c r="A19" s="19">
        <v>16</v>
      </c>
      <c r="B19" s="20" t="s">
        <v>49</v>
      </c>
      <c r="C19" s="25" t="s">
        <v>31</v>
      </c>
      <c r="D19" s="20">
        <v>196</v>
      </c>
      <c r="E19" s="20">
        <v>0</v>
      </c>
      <c r="F19" s="20">
        <v>196</v>
      </c>
      <c r="G19" s="20">
        <v>0</v>
      </c>
      <c r="H19" s="20">
        <v>196</v>
      </c>
      <c r="I19" s="20">
        <v>0</v>
      </c>
      <c r="J19" s="18"/>
      <c r="K19" s="23"/>
      <c r="L19" s="20">
        <f t="shared" si="0"/>
        <v>196</v>
      </c>
      <c r="M19" s="31">
        <v>0</v>
      </c>
      <c r="N19" s="19" t="e">
        <f t="shared" si="1"/>
        <v>#DIV/0!</v>
      </c>
    </row>
    <row r="20" spans="1:14" ht="15.75">
      <c r="A20" s="19">
        <v>17</v>
      </c>
      <c r="B20" s="20" t="s">
        <v>49</v>
      </c>
      <c r="C20" s="25" t="s">
        <v>32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18"/>
      <c r="K20" s="23"/>
      <c r="L20" s="20">
        <f t="shared" si="0"/>
        <v>0</v>
      </c>
      <c r="M20" s="31">
        <v>0</v>
      </c>
      <c r="N20" s="19" t="e">
        <f t="shared" si="1"/>
        <v>#DIV/0!</v>
      </c>
    </row>
    <row r="21" spans="1:14" ht="15.75">
      <c r="A21" s="19">
        <v>18</v>
      </c>
      <c r="B21" s="20" t="s">
        <v>49</v>
      </c>
      <c r="C21" s="25" t="s">
        <v>33</v>
      </c>
      <c r="D21" s="20">
        <v>87</v>
      </c>
      <c r="E21" s="20">
        <v>0</v>
      </c>
      <c r="F21" s="20">
        <v>87</v>
      </c>
      <c r="G21" s="20">
        <v>0</v>
      </c>
      <c r="H21" s="20">
        <v>87</v>
      </c>
      <c r="I21" s="20">
        <v>0</v>
      </c>
      <c r="J21" s="18"/>
      <c r="K21" s="23"/>
      <c r="L21" s="20">
        <f t="shared" si="0"/>
        <v>87</v>
      </c>
      <c r="M21" s="31">
        <v>0</v>
      </c>
      <c r="N21" s="19" t="e">
        <f t="shared" si="1"/>
        <v>#DIV/0!</v>
      </c>
    </row>
    <row r="22" spans="1:14" ht="15.75">
      <c r="A22" s="19">
        <v>19</v>
      </c>
      <c r="B22" s="20" t="s">
        <v>49</v>
      </c>
      <c r="C22" s="25" t="s">
        <v>34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18"/>
      <c r="K22" s="23"/>
      <c r="L22" s="20">
        <f t="shared" si="0"/>
        <v>0</v>
      </c>
      <c r="M22" s="31">
        <v>0</v>
      </c>
      <c r="N22" s="19" t="e">
        <f t="shared" si="1"/>
        <v>#DIV/0!</v>
      </c>
    </row>
    <row r="23" spans="1:14" ht="15.75">
      <c r="A23" s="19">
        <v>20</v>
      </c>
      <c r="B23" s="20" t="s">
        <v>49</v>
      </c>
      <c r="C23" s="25" t="s">
        <v>35</v>
      </c>
      <c r="D23" s="20">
        <v>1256</v>
      </c>
      <c r="E23" s="20">
        <v>0</v>
      </c>
      <c r="F23" s="20">
        <v>1256</v>
      </c>
      <c r="G23" s="20">
        <v>0</v>
      </c>
      <c r="H23" s="20">
        <v>1256</v>
      </c>
      <c r="I23" s="20">
        <v>0</v>
      </c>
      <c r="J23" s="18"/>
      <c r="K23" s="23"/>
      <c r="L23" s="20">
        <f t="shared" si="0"/>
        <v>1256</v>
      </c>
      <c r="M23" s="31">
        <v>0</v>
      </c>
      <c r="N23" s="19" t="e">
        <f t="shared" si="1"/>
        <v>#DIV/0!</v>
      </c>
    </row>
    <row r="24" spans="1:14" ht="15.75">
      <c r="A24" s="19">
        <v>21</v>
      </c>
      <c r="B24" s="20" t="s">
        <v>49</v>
      </c>
      <c r="C24" s="25" t="s">
        <v>36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8"/>
      <c r="K24" s="23"/>
      <c r="L24" s="20">
        <f t="shared" si="0"/>
        <v>0</v>
      </c>
      <c r="M24" s="31">
        <v>0</v>
      </c>
      <c r="N24" s="19" t="e">
        <f t="shared" si="1"/>
        <v>#DIV/0!</v>
      </c>
    </row>
    <row r="25" spans="1:14" ht="15.75">
      <c r="A25" s="19">
        <v>22</v>
      </c>
      <c r="B25" s="20" t="s">
        <v>49</v>
      </c>
      <c r="C25" s="25" t="s">
        <v>37</v>
      </c>
      <c r="D25" s="20">
        <v>171</v>
      </c>
      <c r="E25" s="20">
        <v>0</v>
      </c>
      <c r="F25" s="20">
        <v>171</v>
      </c>
      <c r="G25" s="20">
        <v>0</v>
      </c>
      <c r="H25" s="20">
        <v>171</v>
      </c>
      <c r="I25" s="20">
        <v>0</v>
      </c>
      <c r="J25" s="18"/>
      <c r="K25" s="23"/>
      <c r="L25" s="20">
        <f t="shared" si="0"/>
        <v>171</v>
      </c>
      <c r="M25" s="31">
        <v>0</v>
      </c>
      <c r="N25" s="19" t="e">
        <f t="shared" si="1"/>
        <v>#DIV/0!</v>
      </c>
    </row>
    <row r="26" spans="1:14" ht="15.75">
      <c r="A26" s="19">
        <v>23</v>
      </c>
      <c r="B26" s="20" t="s">
        <v>49</v>
      </c>
      <c r="C26" s="21" t="s">
        <v>38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18"/>
      <c r="K26" s="23"/>
      <c r="L26" s="20">
        <f t="shared" si="0"/>
        <v>0</v>
      </c>
      <c r="M26" s="31">
        <v>0</v>
      </c>
      <c r="N26" s="19" t="e">
        <f t="shared" si="1"/>
        <v>#DIV/0!</v>
      </c>
    </row>
    <row r="27" spans="1:14" ht="15.75">
      <c r="A27" s="19">
        <v>24</v>
      </c>
      <c r="B27" s="20" t="s">
        <v>49</v>
      </c>
      <c r="C27" s="21" t="s">
        <v>39</v>
      </c>
      <c r="D27" s="20">
        <v>46</v>
      </c>
      <c r="E27" s="20">
        <v>34</v>
      </c>
      <c r="F27" s="20">
        <v>46</v>
      </c>
      <c r="G27" s="20">
        <v>34</v>
      </c>
      <c r="H27" s="20">
        <v>46</v>
      </c>
      <c r="I27" s="20">
        <v>34</v>
      </c>
      <c r="J27" s="18"/>
      <c r="K27" s="23"/>
      <c r="L27" s="20">
        <f t="shared" si="0"/>
        <v>46</v>
      </c>
      <c r="M27" s="31">
        <f>L27/1.4</f>
        <v>32.857142857142861</v>
      </c>
      <c r="N27" s="19">
        <f t="shared" si="1"/>
        <v>1.4</v>
      </c>
    </row>
    <row r="28" spans="1:14" ht="15.75">
      <c r="A28" s="19">
        <v>25</v>
      </c>
      <c r="B28" s="20" t="s">
        <v>49</v>
      </c>
      <c r="C28" s="21" t="s">
        <v>40</v>
      </c>
      <c r="D28" s="20">
        <v>1</v>
      </c>
      <c r="E28" s="20">
        <v>0</v>
      </c>
      <c r="F28" s="20">
        <v>1</v>
      </c>
      <c r="G28" s="20">
        <v>0</v>
      </c>
      <c r="H28" s="20">
        <v>1</v>
      </c>
      <c r="I28" s="20">
        <v>0</v>
      </c>
      <c r="J28" s="18"/>
      <c r="K28" s="23"/>
      <c r="L28" s="20">
        <f t="shared" si="0"/>
        <v>1</v>
      </c>
      <c r="M28" s="31">
        <v>0</v>
      </c>
      <c r="N28" s="19" t="e">
        <f t="shared" si="1"/>
        <v>#DIV/0!</v>
      </c>
    </row>
    <row r="29" spans="1:14" ht="15.75">
      <c r="A29" s="19">
        <v>26</v>
      </c>
      <c r="B29" s="20" t="s">
        <v>49</v>
      </c>
      <c r="C29" s="21" t="s">
        <v>41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18"/>
      <c r="K29" s="29"/>
      <c r="L29" s="20">
        <f t="shared" si="0"/>
        <v>0</v>
      </c>
      <c r="M29" s="31">
        <v>0</v>
      </c>
      <c r="N29" s="19" t="e">
        <f t="shared" si="1"/>
        <v>#DIV/0!</v>
      </c>
    </row>
    <row r="30" spans="1:14" ht="15.75">
      <c r="A30" s="19">
        <v>27</v>
      </c>
      <c r="B30" s="20" t="s">
        <v>49</v>
      </c>
      <c r="C30" s="21" t="s">
        <v>42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18"/>
      <c r="K30" s="29"/>
      <c r="L30" s="20">
        <f t="shared" si="0"/>
        <v>0</v>
      </c>
      <c r="M30" s="31">
        <v>0</v>
      </c>
      <c r="N30" s="19" t="e">
        <f t="shared" si="1"/>
        <v>#DIV/0!</v>
      </c>
    </row>
    <row r="31" spans="1:14" ht="15.75">
      <c r="A31" s="19">
        <v>31</v>
      </c>
      <c r="B31" s="20" t="s">
        <v>49</v>
      </c>
      <c r="C31" s="21" t="s">
        <v>43</v>
      </c>
      <c r="D31" s="20">
        <v>0</v>
      </c>
      <c r="E31" s="20">
        <v>259</v>
      </c>
      <c r="F31" s="20">
        <v>0</v>
      </c>
      <c r="G31" s="20">
        <v>259</v>
      </c>
      <c r="H31" s="20">
        <v>0</v>
      </c>
      <c r="I31" s="20">
        <v>259</v>
      </c>
      <c r="J31" s="18"/>
      <c r="K31" s="29"/>
      <c r="L31" s="20">
        <f t="shared" si="0"/>
        <v>0</v>
      </c>
      <c r="M31" s="31">
        <v>259</v>
      </c>
      <c r="N31" s="19">
        <f t="shared" si="1"/>
        <v>0</v>
      </c>
    </row>
    <row r="32" spans="1:14" ht="15.75">
      <c r="A32" s="20"/>
      <c r="B32" s="20"/>
      <c r="C32" s="20"/>
      <c r="D32" s="30">
        <f t="shared" ref="D32:I32" si="2">SUM(D4:D31)</f>
        <v>4232.3999999999996</v>
      </c>
      <c r="E32" s="30">
        <f t="shared" si="2"/>
        <v>527</v>
      </c>
      <c r="F32" s="20">
        <f t="shared" si="2"/>
        <v>4232.3999999999996</v>
      </c>
      <c r="G32" s="20">
        <f t="shared" si="2"/>
        <v>527</v>
      </c>
      <c r="H32" s="20">
        <f t="shared" si="2"/>
        <v>4232.3999999999996</v>
      </c>
      <c r="I32" s="20">
        <f t="shared" si="2"/>
        <v>527</v>
      </c>
      <c r="J32" s="18"/>
      <c r="K32" s="22">
        <f>SUM(K4:K31)</f>
        <v>0</v>
      </c>
      <c r="L32" s="20">
        <f>SUM(L4:L31)</f>
        <v>4232.3999999999996</v>
      </c>
      <c r="M32" s="34">
        <f>SUM(M4:M31)</f>
        <v>566.38067226890757</v>
      </c>
      <c r="N32" s="19"/>
    </row>
    <row r="33" spans="1:14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0"/>
      <c r="L33" s="20"/>
      <c r="M33" s="20">
        <f>L33+M32</f>
        <v>566.38067226890757</v>
      </c>
      <c r="N33" s="28"/>
    </row>
    <row r="34" spans="1:14">
      <c r="L34" s="35"/>
      <c r="M34" s="36"/>
    </row>
    <row r="35" spans="1:14">
      <c r="M35" s="58"/>
    </row>
  </sheetData>
  <mergeCells count="4">
    <mergeCell ref="A1:N1"/>
    <mergeCell ref="D2:E2"/>
    <mergeCell ref="F2:G2"/>
    <mergeCell ref="H2:I2"/>
  </mergeCells>
  <pageMargins left="0.18" right="0.25" top="0.75" bottom="0.75" header="0.3" footer="0.3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34"/>
  <sheetViews>
    <sheetView topLeftCell="T13" zoomScale="106" zoomScaleNormal="106" workbookViewId="0">
      <selection activeCell="Y39" sqref="Y39"/>
    </sheetView>
  </sheetViews>
  <sheetFormatPr defaultColWidth="9" defaultRowHeight="15"/>
  <cols>
    <col min="2" max="2" width="14.140625" customWidth="1"/>
    <col min="3" max="3" width="26" customWidth="1"/>
    <col min="4" max="5" width="13.42578125" customWidth="1"/>
    <col min="6" max="6" width="13.42578125" bestFit="1" customWidth="1"/>
    <col min="7" max="7" width="11.85546875" hidden="1" customWidth="1"/>
    <col min="8" max="8" width="13.42578125" hidden="1" customWidth="1"/>
    <col min="9" max="9" width="13" hidden="1" customWidth="1"/>
    <col min="10" max="10" width="13.42578125" hidden="1" customWidth="1"/>
    <col min="11" max="19" width="13" hidden="1" customWidth="1"/>
    <col min="20" max="23" width="13" customWidth="1"/>
    <col min="24" max="24" width="13.28515625" bestFit="1" customWidth="1"/>
    <col min="25" max="25" width="12.7109375" bestFit="1" customWidth="1"/>
    <col min="26" max="26" width="16.28515625" bestFit="1" customWidth="1"/>
    <col min="27" max="27" width="8" customWidth="1"/>
  </cols>
  <sheetData>
    <row r="1" spans="1:30" ht="21">
      <c r="A1" s="288" t="s">
        <v>108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30" ht="45.7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289" t="s">
        <v>164</v>
      </c>
      <c r="M2" s="290"/>
      <c r="N2" s="289" t="s">
        <v>171</v>
      </c>
      <c r="O2" s="290"/>
      <c r="P2" s="289" t="s">
        <v>232</v>
      </c>
      <c r="Q2" s="290"/>
      <c r="R2" s="289" t="s">
        <v>240</v>
      </c>
      <c r="S2" s="290"/>
      <c r="T2" s="289" t="s">
        <v>243</v>
      </c>
      <c r="U2" s="290"/>
      <c r="V2" s="289" t="s">
        <v>247</v>
      </c>
      <c r="W2" s="290"/>
      <c r="X2" s="162" t="s">
        <v>150</v>
      </c>
      <c r="Y2" s="162" t="s">
        <v>150</v>
      </c>
      <c r="Z2" s="108" t="s">
        <v>153</v>
      </c>
      <c r="AA2" s="108"/>
      <c r="AB2" s="108"/>
    </row>
    <row r="3" spans="1:30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7" t="s">
        <v>4</v>
      </c>
      <c r="U3" s="17" t="s">
        <v>109</v>
      </c>
      <c r="V3" s="17" t="s">
        <v>4</v>
      </c>
      <c r="W3" s="17" t="s">
        <v>109</v>
      </c>
      <c r="X3" s="18" t="s">
        <v>125</v>
      </c>
      <c r="Y3" s="18" t="s">
        <v>8</v>
      </c>
      <c r="Z3" s="17" t="s">
        <v>10</v>
      </c>
      <c r="AA3" s="17" t="s">
        <v>11</v>
      </c>
      <c r="AB3" s="20" t="s">
        <v>12</v>
      </c>
    </row>
    <row r="4" spans="1:30" ht="15.75">
      <c r="A4" s="19">
        <v>1</v>
      </c>
      <c r="B4" s="20" t="s">
        <v>50</v>
      </c>
      <c r="C4" s="21" t="s">
        <v>14</v>
      </c>
      <c r="D4" s="20">
        <v>-22750.45</v>
      </c>
      <c r="E4" s="20">
        <v>0</v>
      </c>
      <c r="F4" s="20">
        <v>-22750.45</v>
      </c>
      <c r="G4" s="20">
        <v>0</v>
      </c>
      <c r="H4" s="20">
        <v>-22750.45</v>
      </c>
      <c r="I4" s="20">
        <v>0</v>
      </c>
      <c r="J4" s="20">
        <v>-27651.45</v>
      </c>
      <c r="K4" s="20">
        <v>0</v>
      </c>
      <c r="L4" s="20">
        <v>-27651.45</v>
      </c>
      <c r="M4" s="20">
        <v>0</v>
      </c>
      <c r="N4" s="20">
        <v>-27651.45</v>
      </c>
      <c r="O4" s="20">
        <v>0</v>
      </c>
      <c r="P4" s="20">
        <v>-27651.45</v>
      </c>
      <c r="Q4" s="20">
        <v>0</v>
      </c>
      <c r="R4" s="20">
        <v>-27651.45</v>
      </c>
      <c r="S4" s="20">
        <v>0</v>
      </c>
      <c r="T4" s="20">
        <v>-27651.45</v>
      </c>
      <c r="U4" s="20">
        <v>0</v>
      </c>
      <c r="V4" s="20">
        <v>-27651.45</v>
      </c>
      <c r="W4" s="20">
        <v>0</v>
      </c>
      <c r="X4" s="18" t="s">
        <v>248</v>
      </c>
      <c r="Y4" s="285" t="s">
        <v>44</v>
      </c>
      <c r="Z4" s="31" t="e">
        <f>N4+X4-Y4</f>
        <v>#VALUE!</v>
      </c>
      <c r="AA4" s="20"/>
      <c r="AB4" s="28"/>
    </row>
    <row r="5" spans="1:30" ht="15.75">
      <c r="A5" s="19">
        <v>2</v>
      </c>
      <c r="B5" s="20" t="s">
        <v>50</v>
      </c>
      <c r="C5" s="21" t="s">
        <v>15</v>
      </c>
      <c r="D5" s="20">
        <v>-392</v>
      </c>
      <c r="E5" s="20">
        <v>-20</v>
      </c>
      <c r="F5" s="20">
        <v>-392</v>
      </c>
      <c r="G5" s="19">
        <v>-20</v>
      </c>
      <c r="H5" s="20">
        <v>-392</v>
      </c>
      <c r="I5" s="19">
        <v>-20</v>
      </c>
      <c r="J5" s="19">
        <v>-772</v>
      </c>
      <c r="K5" s="19">
        <v>-40</v>
      </c>
      <c r="L5" s="19">
        <v>-772</v>
      </c>
      <c r="M5" s="19">
        <v>-40</v>
      </c>
      <c r="N5" s="19">
        <v>-772</v>
      </c>
      <c r="O5" s="19">
        <v>-40</v>
      </c>
      <c r="P5" s="19">
        <v>-772</v>
      </c>
      <c r="Q5" s="19">
        <v>-40</v>
      </c>
      <c r="R5" s="19">
        <v>-772</v>
      </c>
      <c r="S5" s="19">
        <v>-40</v>
      </c>
      <c r="T5" s="19">
        <v>-772</v>
      </c>
      <c r="U5" s="19">
        <v>-40</v>
      </c>
      <c r="V5" s="19">
        <v>-772</v>
      </c>
      <c r="W5" s="19">
        <v>-40</v>
      </c>
      <c r="X5" s="18"/>
      <c r="Y5" s="22"/>
      <c r="Z5" s="31">
        <f t="shared" ref="Z5:Z31" si="0">N5+X5-Y5</f>
        <v>-772</v>
      </c>
      <c r="AA5" s="32">
        <f>Z5/19</f>
        <v>-40.631578947368418</v>
      </c>
      <c r="AB5" s="20">
        <f t="shared" ref="AB5:AB12" si="1">Z5/AA5</f>
        <v>19</v>
      </c>
    </row>
    <row r="6" spans="1:30" ht="15.75">
      <c r="A6" s="19">
        <v>3</v>
      </c>
      <c r="B6" s="20" t="s">
        <v>50</v>
      </c>
      <c r="C6" s="21" t="s">
        <v>16</v>
      </c>
      <c r="D6" s="20">
        <v>2442</v>
      </c>
      <c r="E6" s="20">
        <v>66</v>
      </c>
      <c r="F6" s="20">
        <v>2442</v>
      </c>
      <c r="G6" s="19">
        <v>66</v>
      </c>
      <c r="H6" s="20">
        <v>2442</v>
      </c>
      <c r="I6" s="19">
        <v>66</v>
      </c>
      <c r="J6" s="19">
        <v>1850</v>
      </c>
      <c r="K6" s="19">
        <v>50</v>
      </c>
      <c r="L6" s="19">
        <v>1850</v>
      </c>
      <c r="M6" s="19">
        <v>50</v>
      </c>
      <c r="N6" s="19">
        <v>1850</v>
      </c>
      <c r="O6" s="19">
        <v>50</v>
      </c>
      <c r="P6" s="19">
        <v>1850</v>
      </c>
      <c r="Q6" s="19">
        <v>50</v>
      </c>
      <c r="R6" s="19">
        <v>1850</v>
      </c>
      <c r="S6" s="19">
        <v>50</v>
      </c>
      <c r="T6" s="19">
        <v>1850</v>
      </c>
      <c r="U6" s="19">
        <v>50</v>
      </c>
      <c r="V6" s="19">
        <v>1850</v>
      </c>
      <c r="W6" s="19">
        <v>50</v>
      </c>
      <c r="X6" s="18"/>
      <c r="Y6" s="22"/>
      <c r="Z6" s="31">
        <f t="shared" si="0"/>
        <v>1850</v>
      </c>
      <c r="AA6" s="32">
        <f>Z6/37</f>
        <v>50</v>
      </c>
      <c r="AB6" s="20">
        <f t="shared" si="1"/>
        <v>37</v>
      </c>
    </row>
    <row r="7" spans="1:30" ht="15.75">
      <c r="A7" s="19">
        <v>4</v>
      </c>
      <c r="B7" s="20" t="s">
        <v>50</v>
      </c>
      <c r="C7" s="21" t="s">
        <v>17</v>
      </c>
      <c r="D7" s="20">
        <v>153</v>
      </c>
      <c r="E7" s="20">
        <v>9</v>
      </c>
      <c r="F7" s="20">
        <v>153</v>
      </c>
      <c r="G7" s="19">
        <v>9</v>
      </c>
      <c r="H7" s="20">
        <v>153</v>
      </c>
      <c r="I7" s="19">
        <v>9</v>
      </c>
      <c r="J7" s="19">
        <v>85</v>
      </c>
      <c r="K7" s="19">
        <v>5</v>
      </c>
      <c r="L7" s="19">
        <v>85</v>
      </c>
      <c r="M7" s="19">
        <v>5</v>
      </c>
      <c r="N7" s="19">
        <v>85</v>
      </c>
      <c r="O7" s="19">
        <v>5</v>
      </c>
      <c r="P7" s="19">
        <v>85</v>
      </c>
      <c r="Q7" s="19">
        <v>5</v>
      </c>
      <c r="R7" s="19">
        <v>85</v>
      </c>
      <c r="S7" s="19">
        <v>5</v>
      </c>
      <c r="T7" s="19">
        <v>85</v>
      </c>
      <c r="U7" s="19">
        <v>5</v>
      </c>
      <c r="V7" s="19">
        <v>85</v>
      </c>
      <c r="W7" s="19">
        <v>5</v>
      </c>
      <c r="X7" s="18"/>
      <c r="Y7" s="22"/>
      <c r="Z7" s="31">
        <f t="shared" si="0"/>
        <v>85</v>
      </c>
      <c r="AA7" s="32">
        <f>Z7/17</f>
        <v>5</v>
      </c>
      <c r="AB7" s="20">
        <f t="shared" si="1"/>
        <v>17</v>
      </c>
    </row>
    <row r="8" spans="1:30" ht="15.75">
      <c r="A8" s="19">
        <v>5</v>
      </c>
      <c r="B8" s="20" t="s">
        <v>50</v>
      </c>
      <c r="C8" s="21" t="s">
        <v>18</v>
      </c>
      <c r="D8" s="20">
        <v>-2065</v>
      </c>
      <c r="E8" s="20">
        <v>-413</v>
      </c>
      <c r="F8" s="20">
        <v>-2065</v>
      </c>
      <c r="G8" s="19">
        <v>-413</v>
      </c>
      <c r="H8" s="20">
        <v>-2065</v>
      </c>
      <c r="I8" s="19">
        <v>-413</v>
      </c>
      <c r="J8" s="19">
        <v>-2065</v>
      </c>
      <c r="K8" s="19">
        <v>-413</v>
      </c>
      <c r="L8" s="19">
        <v>-2065</v>
      </c>
      <c r="M8" s="19">
        <v>-413</v>
      </c>
      <c r="N8" s="19">
        <v>-2065</v>
      </c>
      <c r="O8" s="19">
        <v>-413</v>
      </c>
      <c r="P8" s="19">
        <v>-2065</v>
      </c>
      <c r="Q8" s="19">
        <v>-413</v>
      </c>
      <c r="R8" s="19">
        <v>-2065</v>
      </c>
      <c r="S8" s="19">
        <v>-413</v>
      </c>
      <c r="T8" s="19">
        <v>-2065</v>
      </c>
      <c r="U8" s="19">
        <v>-413</v>
      </c>
      <c r="V8" s="19">
        <v>-2065</v>
      </c>
      <c r="W8" s="19">
        <v>-413</v>
      </c>
      <c r="X8" s="18"/>
      <c r="Y8" s="22"/>
      <c r="Z8" s="31">
        <f t="shared" si="0"/>
        <v>-2065</v>
      </c>
      <c r="AA8" s="32">
        <f>Z8/5</f>
        <v>-413</v>
      </c>
      <c r="AB8" s="20">
        <f t="shared" si="1"/>
        <v>5</v>
      </c>
    </row>
    <row r="9" spans="1:30" ht="15.75">
      <c r="A9" s="19">
        <v>6</v>
      </c>
      <c r="B9" s="20" t="s">
        <v>50</v>
      </c>
      <c r="C9" s="21" t="s">
        <v>19</v>
      </c>
      <c r="D9" s="20">
        <v>1045.8</v>
      </c>
      <c r="E9" s="20">
        <v>1743</v>
      </c>
      <c r="F9" s="20">
        <v>1045.8</v>
      </c>
      <c r="G9" s="19">
        <v>1743</v>
      </c>
      <c r="H9" s="20">
        <v>1045.8</v>
      </c>
      <c r="I9" s="19">
        <v>1743</v>
      </c>
      <c r="J9" s="19">
        <v>985</v>
      </c>
      <c r="K9" s="19">
        <v>1643</v>
      </c>
      <c r="L9" s="19">
        <v>985</v>
      </c>
      <c r="M9" s="19">
        <v>1643</v>
      </c>
      <c r="N9" s="19">
        <v>985</v>
      </c>
      <c r="O9" s="19">
        <v>1643</v>
      </c>
      <c r="P9" s="19">
        <v>985</v>
      </c>
      <c r="Q9" s="19">
        <v>1643</v>
      </c>
      <c r="R9" s="19">
        <v>985</v>
      </c>
      <c r="S9" s="19">
        <v>1643</v>
      </c>
      <c r="T9" s="19">
        <v>985</v>
      </c>
      <c r="U9" s="19">
        <v>1643</v>
      </c>
      <c r="V9" s="19">
        <v>985</v>
      </c>
      <c r="W9" s="19">
        <v>1643</v>
      </c>
      <c r="X9" s="18"/>
      <c r="Y9" s="22"/>
      <c r="Z9" s="31">
        <f t="shared" si="0"/>
        <v>985</v>
      </c>
      <c r="AA9" s="32">
        <f>Z9/0.6</f>
        <v>1641.6666666666667</v>
      </c>
      <c r="AB9" s="20">
        <f t="shared" si="1"/>
        <v>0.6</v>
      </c>
    </row>
    <row r="10" spans="1:30" ht="15.75">
      <c r="A10" s="19">
        <v>7</v>
      </c>
      <c r="B10" s="20" t="s">
        <v>50</v>
      </c>
      <c r="C10" s="24" t="s">
        <v>20</v>
      </c>
      <c r="D10" s="20">
        <v>180</v>
      </c>
      <c r="E10" s="20">
        <v>36</v>
      </c>
      <c r="F10" s="20">
        <v>180</v>
      </c>
      <c r="G10" s="19">
        <v>36</v>
      </c>
      <c r="H10" s="20">
        <v>180</v>
      </c>
      <c r="I10" s="19">
        <v>36</v>
      </c>
      <c r="J10" s="19">
        <v>20</v>
      </c>
      <c r="K10" s="19">
        <v>4</v>
      </c>
      <c r="L10" s="19">
        <v>20</v>
      </c>
      <c r="M10" s="19">
        <v>4</v>
      </c>
      <c r="N10" s="19">
        <v>20</v>
      </c>
      <c r="O10" s="19">
        <v>4</v>
      </c>
      <c r="P10" s="19">
        <v>20</v>
      </c>
      <c r="Q10" s="19">
        <v>4</v>
      </c>
      <c r="R10" s="19">
        <v>20</v>
      </c>
      <c r="S10" s="19">
        <v>4</v>
      </c>
      <c r="T10" s="19">
        <v>20</v>
      </c>
      <c r="U10" s="19">
        <v>4</v>
      </c>
      <c r="V10" s="19">
        <v>20</v>
      </c>
      <c r="W10" s="19">
        <v>4</v>
      </c>
      <c r="X10" s="18"/>
      <c r="Y10" s="22"/>
      <c r="Z10" s="31">
        <f t="shared" si="0"/>
        <v>20</v>
      </c>
      <c r="AA10" s="32">
        <f>Z10/5</f>
        <v>4</v>
      </c>
      <c r="AB10" s="20">
        <f t="shared" si="1"/>
        <v>5</v>
      </c>
    </row>
    <row r="11" spans="1:30" ht="15.75">
      <c r="A11" s="19">
        <v>8</v>
      </c>
      <c r="B11" s="20" t="s">
        <v>50</v>
      </c>
      <c r="C11" s="24" t="s">
        <v>22</v>
      </c>
      <c r="D11" s="20">
        <v>-100</v>
      </c>
      <c r="E11" s="20">
        <v>-20</v>
      </c>
      <c r="F11" s="20">
        <v>-100</v>
      </c>
      <c r="G11" s="19">
        <v>-20</v>
      </c>
      <c r="H11" s="20">
        <v>-100</v>
      </c>
      <c r="I11" s="19">
        <v>-20</v>
      </c>
      <c r="J11" s="19">
        <v>-100</v>
      </c>
      <c r="K11" s="19">
        <v>-20</v>
      </c>
      <c r="L11" s="19">
        <v>-100</v>
      </c>
      <c r="M11" s="19">
        <v>-20</v>
      </c>
      <c r="N11" s="19">
        <v>-100</v>
      </c>
      <c r="O11" s="19">
        <v>-20</v>
      </c>
      <c r="P11" s="19">
        <v>-100</v>
      </c>
      <c r="Q11" s="19">
        <v>-20</v>
      </c>
      <c r="R11" s="19">
        <v>-100</v>
      </c>
      <c r="S11" s="19">
        <v>-20</v>
      </c>
      <c r="T11" s="19">
        <v>-100</v>
      </c>
      <c r="U11" s="19">
        <v>-20</v>
      </c>
      <c r="V11" s="19">
        <v>-100</v>
      </c>
      <c r="W11" s="19">
        <v>-20</v>
      </c>
      <c r="X11" s="18"/>
      <c r="Y11" s="22"/>
      <c r="Z11" s="31">
        <f t="shared" si="0"/>
        <v>-100</v>
      </c>
      <c r="AA11" s="32">
        <f>Z11/5</f>
        <v>-20</v>
      </c>
      <c r="AB11" s="20">
        <f t="shared" si="1"/>
        <v>5</v>
      </c>
    </row>
    <row r="12" spans="1:30" ht="15.75">
      <c r="A12" s="19">
        <v>9</v>
      </c>
      <c r="B12" s="20" t="s">
        <v>50</v>
      </c>
      <c r="C12" s="24" t="s">
        <v>23</v>
      </c>
      <c r="D12" s="20">
        <v>274.39999999999998</v>
      </c>
      <c r="E12" s="20">
        <v>343</v>
      </c>
      <c r="F12" s="20">
        <v>274.39999999999998</v>
      </c>
      <c r="G12" s="19">
        <v>343</v>
      </c>
      <c r="H12" s="20">
        <v>274.39999999999998</v>
      </c>
      <c r="I12" s="19">
        <v>343</v>
      </c>
      <c r="J12" s="19">
        <v>274.39999999999998</v>
      </c>
      <c r="K12" s="19">
        <v>343</v>
      </c>
      <c r="L12" s="19">
        <v>274</v>
      </c>
      <c r="M12" s="19">
        <v>343</v>
      </c>
      <c r="N12" s="19">
        <v>274</v>
      </c>
      <c r="O12" s="19">
        <v>343</v>
      </c>
      <c r="P12" s="19">
        <v>274</v>
      </c>
      <c r="Q12" s="19">
        <v>343</v>
      </c>
      <c r="R12" s="19">
        <v>274</v>
      </c>
      <c r="S12" s="19">
        <v>343</v>
      </c>
      <c r="T12" s="19">
        <v>274</v>
      </c>
      <c r="U12" s="19">
        <v>343</v>
      </c>
      <c r="V12" s="19">
        <v>274</v>
      </c>
      <c r="W12" s="19">
        <v>343</v>
      </c>
      <c r="X12" s="18"/>
      <c r="Y12" s="22"/>
      <c r="Z12" s="31">
        <f t="shared" si="0"/>
        <v>274</v>
      </c>
      <c r="AA12" s="32">
        <f>Z12/0.8</f>
        <v>342.5</v>
      </c>
      <c r="AB12" s="20">
        <f t="shared" si="1"/>
        <v>0.8</v>
      </c>
    </row>
    <row r="13" spans="1:30" ht="15.75">
      <c r="A13" s="19">
        <v>10</v>
      </c>
      <c r="B13" s="20" t="s">
        <v>50</v>
      </c>
      <c r="C13" s="24" t="s">
        <v>25</v>
      </c>
      <c r="D13" s="20">
        <v>4467.75</v>
      </c>
      <c r="E13" s="20">
        <v>0</v>
      </c>
      <c r="F13" s="20">
        <v>4467.75</v>
      </c>
      <c r="G13" s="19">
        <v>0</v>
      </c>
      <c r="H13" s="20">
        <v>4467.75</v>
      </c>
      <c r="I13" s="19">
        <v>0</v>
      </c>
      <c r="J13" s="19">
        <v>4467.75</v>
      </c>
      <c r="K13" s="19">
        <v>0</v>
      </c>
      <c r="L13" s="19">
        <v>4467.75</v>
      </c>
      <c r="M13" s="19">
        <v>0</v>
      </c>
      <c r="N13" s="19">
        <v>4467.75</v>
      </c>
      <c r="O13" s="19">
        <v>0</v>
      </c>
      <c r="P13" s="19">
        <v>4467.75</v>
      </c>
      <c r="Q13" s="19">
        <v>0</v>
      </c>
      <c r="R13" s="19">
        <v>4467.75</v>
      </c>
      <c r="S13" s="19">
        <v>0</v>
      </c>
      <c r="T13" s="19">
        <v>4467.75</v>
      </c>
      <c r="U13" s="19">
        <v>0</v>
      </c>
      <c r="V13" s="19">
        <v>4467.75</v>
      </c>
      <c r="W13" s="19">
        <v>0</v>
      </c>
      <c r="X13" s="18"/>
      <c r="Y13" s="22"/>
      <c r="Z13" s="31">
        <f t="shared" si="0"/>
        <v>4467.75</v>
      </c>
      <c r="AA13" s="32">
        <v>0</v>
      </c>
      <c r="AB13" s="20">
        <v>0</v>
      </c>
    </row>
    <row r="14" spans="1:30" ht="15.75">
      <c r="A14" s="19">
        <v>11</v>
      </c>
      <c r="B14" s="20" t="s">
        <v>50</v>
      </c>
      <c r="C14" s="24" t="s">
        <v>26</v>
      </c>
      <c r="D14" s="20">
        <v>7465.56</v>
      </c>
      <c r="E14" s="20">
        <v>0</v>
      </c>
      <c r="F14" s="20">
        <v>7465.56</v>
      </c>
      <c r="G14" s="19">
        <v>0</v>
      </c>
      <c r="H14" s="20">
        <v>7465.56</v>
      </c>
      <c r="I14" s="19">
        <v>0</v>
      </c>
      <c r="J14" s="19">
        <v>6997.56</v>
      </c>
      <c r="K14" s="19">
        <v>0</v>
      </c>
      <c r="L14" s="19">
        <v>6997.56</v>
      </c>
      <c r="M14" s="19">
        <v>0</v>
      </c>
      <c r="N14" s="19">
        <v>6997.56</v>
      </c>
      <c r="O14" s="19">
        <v>0</v>
      </c>
      <c r="P14" s="19">
        <v>6997.56</v>
      </c>
      <c r="Q14" s="19">
        <v>0</v>
      </c>
      <c r="R14" s="19">
        <v>6997.56</v>
      </c>
      <c r="S14" s="19">
        <v>0</v>
      </c>
      <c r="T14" s="19">
        <v>6997.56</v>
      </c>
      <c r="U14" s="19">
        <v>0</v>
      </c>
      <c r="V14" s="19">
        <v>6997.56</v>
      </c>
      <c r="W14" s="19">
        <v>0</v>
      </c>
      <c r="X14" s="18"/>
      <c r="Y14" s="22"/>
      <c r="Z14" s="31">
        <f t="shared" si="0"/>
        <v>6997.56</v>
      </c>
      <c r="AA14" s="32">
        <v>0</v>
      </c>
      <c r="AB14" s="20">
        <v>0</v>
      </c>
    </row>
    <row r="15" spans="1:30" ht="15.75">
      <c r="A15" s="19">
        <v>12</v>
      </c>
      <c r="B15" s="20" t="s">
        <v>50</v>
      </c>
      <c r="C15" s="21" t="s">
        <v>27</v>
      </c>
      <c r="D15" s="20">
        <v>0</v>
      </c>
      <c r="E15" s="20">
        <v>0</v>
      </c>
      <c r="F15" s="20">
        <v>0</v>
      </c>
      <c r="G15" s="19">
        <v>0</v>
      </c>
      <c r="H15" s="20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/>
      <c r="Q15" s="19">
        <v>0</v>
      </c>
      <c r="R15" s="19"/>
      <c r="S15" s="19">
        <v>0</v>
      </c>
      <c r="T15" s="19"/>
      <c r="U15" s="19">
        <v>0</v>
      </c>
      <c r="V15" s="19"/>
      <c r="W15" s="19">
        <v>0</v>
      </c>
      <c r="X15" s="18"/>
      <c r="Y15" s="22"/>
      <c r="Z15" s="31">
        <f t="shared" si="0"/>
        <v>0</v>
      </c>
      <c r="AA15" s="32">
        <v>0</v>
      </c>
      <c r="AB15" s="20">
        <v>0</v>
      </c>
    </row>
    <row r="16" spans="1:30" ht="15.75">
      <c r="A16" s="19">
        <v>13</v>
      </c>
      <c r="B16" s="20" t="s">
        <v>50</v>
      </c>
      <c r="C16" s="25" t="s">
        <v>28</v>
      </c>
      <c r="D16" s="20">
        <v>10625</v>
      </c>
      <c r="E16" s="20">
        <v>625</v>
      </c>
      <c r="F16" s="20">
        <v>10625</v>
      </c>
      <c r="G16" s="19">
        <v>625</v>
      </c>
      <c r="H16" s="20">
        <v>10625</v>
      </c>
      <c r="I16" s="19">
        <v>625</v>
      </c>
      <c r="J16" s="19">
        <v>10149</v>
      </c>
      <c r="K16" s="19">
        <v>597</v>
      </c>
      <c r="L16" s="19">
        <v>10149</v>
      </c>
      <c r="M16" s="19">
        <v>597</v>
      </c>
      <c r="N16" s="19">
        <v>10149</v>
      </c>
      <c r="O16" s="19">
        <v>597</v>
      </c>
      <c r="P16" s="19">
        <v>10149</v>
      </c>
      <c r="Q16" s="19">
        <v>597</v>
      </c>
      <c r="R16" s="19">
        <v>10149</v>
      </c>
      <c r="S16" s="19">
        <v>597</v>
      </c>
      <c r="T16" s="19">
        <v>10149</v>
      </c>
      <c r="U16" s="19">
        <v>597</v>
      </c>
      <c r="V16" s="19">
        <v>10149</v>
      </c>
      <c r="W16" s="19">
        <v>597</v>
      </c>
      <c r="X16" s="18"/>
      <c r="Y16" s="22"/>
      <c r="Z16" s="31">
        <f t="shared" si="0"/>
        <v>10149</v>
      </c>
      <c r="AA16" s="32">
        <f>Z16/17</f>
        <v>597</v>
      </c>
      <c r="AB16" s="20">
        <f>Z16/AA16</f>
        <v>17</v>
      </c>
      <c r="AD16" s="88"/>
    </row>
    <row r="17" spans="1:28" ht="15.75">
      <c r="A17" s="19">
        <v>14</v>
      </c>
      <c r="B17" s="20" t="s">
        <v>50</v>
      </c>
      <c r="C17" s="25" t="s">
        <v>29</v>
      </c>
      <c r="D17" s="20">
        <v>18</v>
      </c>
      <c r="E17" s="20">
        <v>1</v>
      </c>
      <c r="F17" s="20">
        <v>18</v>
      </c>
      <c r="G17" s="19">
        <v>1</v>
      </c>
      <c r="H17" s="20">
        <v>18</v>
      </c>
      <c r="I17" s="19">
        <v>1</v>
      </c>
      <c r="J17" s="19">
        <v>18</v>
      </c>
      <c r="K17" s="19">
        <v>1</v>
      </c>
      <c r="L17" s="19">
        <v>18</v>
      </c>
      <c r="M17" s="19">
        <v>1</v>
      </c>
      <c r="N17" s="19">
        <v>18</v>
      </c>
      <c r="O17" s="19">
        <v>1</v>
      </c>
      <c r="P17" s="19">
        <v>18</v>
      </c>
      <c r="Q17" s="19">
        <v>1</v>
      </c>
      <c r="R17" s="19">
        <v>18</v>
      </c>
      <c r="S17" s="19">
        <v>1</v>
      </c>
      <c r="T17" s="19">
        <v>18</v>
      </c>
      <c r="U17" s="19">
        <v>1</v>
      </c>
      <c r="V17" s="19">
        <v>18</v>
      </c>
      <c r="W17" s="19">
        <v>1</v>
      </c>
      <c r="X17" s="18"/>
      <c r="Y17" s="22"/>
      <c r="Z17" s="31">
        <f t="shared" si="0"/>
        <v>18</v>
      </c>
      <c r="AA17" s="32">
        <f>Z17/19</f>
        <v>0.94736842105263153</v>
      </c>
      <c r="AB17" s="20">
        <v>0</v>
      </c>
    </row>
    <row r="18" spans="1:28" ht="15.75">
      <c r="A18" s="19">
        <v>15</v>
      </c>
      <c r="B18" s="20" t="s">
        <v>50</v>
      </c>
      <c r="C18" s="25" t="s">
        <v>30</v>
      </c>
      <c r="D18" s="20">
        <v>20800.25</v>
      </c>
      <c r="E18" s="20">
        <v>0</v>
      </c>
      <c r="F18" s="20">
        <v>20800.25</v>
      </c>
      <c r="G18" s="19">
        <v>0</v>
      </c>
      <c r="H18" s="20">
        <v>20800.25</v>
      </c>
      <c r="I18" s="19">
        <v>0</v>
      </c>
      <c r="J18" s="19">
        <v>18963.25</v>
      </c>
      <c r="K18" s="19">
        <v>0</v>
      </c>
      <c r="L18" s="19">
        <v>18963.25</v>
      </c>
      <c r="M18" s="19">
        <v>0</v>
      </c>
      <c r="N18" s="19">
        <v>18963.25</v>
      </c>
      <c r="O18" s="19">
        <v>0</v>
      </c>
      <c r="P18" s="19">
        <v>18963.25</v>
      </c>
      <c r="Q18" s="19">
        <v>0</v>
      </c>
      <c r="R18" s="19">
        <v>18963.25</v>
      </c>
      <c r="S18" s="19">
        <v>0</v>
      </c>
      <c r="T18" s="19">
        <v>18963.25</v>
      </c>
      <c r="U18" s="19">
        <v>0</v>
      </c>
      <c r="V18" s="19">
        <v>18963.25</v>
      </c>
      <c r="W18" s="19">
        <v>0</v>
      </c>
      <c r="X18" s="18"/>
      <c r="Y18" s="22"/>
      <c r="Z18" s="31">
        <f t="shared" si="0"/>
        <v>18963.25</v>
      </c>
      <c r="AA18" s="32">
        <v>0</v>
      </c>
      <c r="AB18" s="20">
        <v>0</v>
      </c>
    </row>
    <row r="19" spans="1:28" ht="15.75">
      <c r="A19" s="19">
        <v>16</v>
      </c>
      <c r="B19" s="20" t="s">
        <v>50</v>
      </c>
      <c r="C19" s="25" t="s">
        <v>31</v>
      </c>
      <c r="D19" s="20">
        <v>2013</v>
      </c>
      <c r="E19" s="20">
        <v>0</v>
      </c>
      <c r="F19" s="20">
        <v>2013</v>
      </c>
      <c r="G19" s="19">
        <v>0</v>
      </c>
      <c r="H19" s="20">
        <v>2013</v>
      </c>
      <c r="I19" s="19">
        <v>0</v>
      </c>
      <c r="J19" s="19">
        <v>1713</v>
      </c>
      <c r="K19" s="19">
        <v>0</v>
      </c>
      <c r="L19" s="19">
        <v>1713</v>
      </c>
      <c r="M19" s="19">
        <v>0</v>
      </c>
      <c r="N19" s="19">
        <v>1713</v>
      </c>
      <c r="O19" s="19">
        <v>0</v>
      </c>
      <c r="P19" s="19">
        <v>1713.8</v>
      </c>
      <c r="Q19" s="19">
        <v>0</v>
      </c>
      <c r="R19" s="19">
        <v>1713.8</v>
      </c>
      <c r="S19" s="19">
        <v>0</v>
      </c>
      <c r="T19" s="19">
        <v>1713.8</v>
      </c>
      <c r="U19" s="19">
        <v>0</v>
      </c>
      <c r="V19" s="19">
        <v>1713.8</v>
      </c>
      <c r="W19" s="19">
        <v>0</v>
      </c>
      <c r="X19" s="18"/>
      <c r="Y19" s="22"/>
      <c r="Z19" s="31">
        <f t="shared" si="0"/>
        <v>1713</v>
      </c>
      <c r="AA19" s="32">
        <v>0</v>
      </c>
      <c r="AB19" s="20">
        <v>0</v>
      </c>
    </row>
    <row r="20" spans="1:28" ht="15.75">
      <c r="A20" s="19">
        <v>17</v>
      </c>
      <c r="B20" s="20" t="s">
        <v>50</v>
      </c>
      <c r="C20" s="25" t="s">
        <v>32</v>
      </c>
      <c r="D20" s="20">
        <v>5394.48</v>
      </c>
      <c r="E20" s="20">
        <v>0</v>
      </c>
      <c r="F20" s="20">
        <v>5394.48</v>
      </c>
      <c r="G20" s="19">
        <v>0</v>
      </c>
      <c r="H20" s="20">
        <v>5394.48</v>
      </c>
      <c r="I20" s="19">
        <v>0</v>
      </c>
      <c r="J20" s="19">
        <v>4554.4799999999996</v>
      </c>
      <c r="K20" s="19">
        <v>0</v>
      </c>
      <c r="L20" s="19">
        <v>4554.4799999999996</v>
      </c>
      <c r="M20" s="19">
        <v>0</v>
      </c>
      <c r="N20" s="19">
        <v>4554.4799999999996</v>
      </c>
      <c r="O20" s="19">
        <v>0</v>
      </c>
      <c r="P20" s="19">
        <v>4554.4799999999996</v>
      </c>
      <c r="Q20" s="19">
        <v>0</v>
      </c>
      <c r="R20" s="19">
        <v>4554.4799999999996</v>
      </c>
      <c r="S20" s="19">
        <v>0</v>
      </c>
      <c r="T20" s="19">
        <v>4554.4799999999996</v>
      </c>
      <c r="U20" s="19">
        <v>0</v>
      </c>
      <c r="V20" s="19">
        <v>4554.4799999999996</v>
      </c>
      <c r="W20" s="19">
        <v>0</v>
      </c>
      <c r="X20" s="18"/>
      <c r="Y20" s="22"/>
      <c r="Z20" s="31">
        <f t="shared" si="0"/>
        <v>4554.4799999999996</v>
      </c>
      <c r="AA20" s="32">
        <v>0</v>
      </c>
      <c r="AB20" s="20">
        <v>0</v>
      </c>
    </row>
    <row r="21" spans="1:28" ht="15.75">
      <c r="A21" s="19">
        <v>18</v>
      </c>
      <c r="B21" s="20" t="s">
        <v>50</v>
      </c>
      <c r="C21" s="25" t="s">
        <v>33</v>
      </c>
      <c r="D21" s="20">
        <v>0</v>
      </c>
      <c r="E21" s="20">
        <v>0</v>
      </c>
      <c r="F21" s="20">
        <v>0</v>
      </c>
      <c r="G21" s="19">
        <v>0</v>
      </c>
      <c r="H21" s="20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8"/>
      <c r="Y21" s="22"/>
      <c r="Z21" s="31">
        <f t="shared" si="0"/>
        <v>0</v>
      </c>
      <c r="AA21" s="32">
        <v>0</v>
      </c>
      <c r="AB21" s="20">
        <v>0</v>
      </c>
    </row>
    <row r="22" spans="1:28" ht="15.75">
      <c r="A22" s="19">
        <v>19</v>
      </c>
      <c r="B22" s="20" t="s">
        <v>50</v>
      </c>
      <c r="C22" s="25" t="s">
        <v>34</v>
      </c>
      <c r="D22" s="20">
        <v>0</v>
      </c>
      <c r="E22" s="20">
        <v>0</v>
      </c>
      <c r="F22" s="20">
        <v>0</v>
      </c>
      <c r="G22" s="19">
        <v>0</v>
      </c>
      <c r="H22" s="20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8"/>
      <c r="Y22" s="22"/>
      <c r="Z22" s="31">
        <f t="shared" si="0"/>
        <v>0</v>
      </c>
      <c r="AA22" s="32">
        <v>0</v>
      </c>
      <c r="AB22" s="20">
        <v>0</v>
      </c>
    </row>
    <row r="23" spans="1:28" ht="15.75">
      <c r="A23" s="19">
        <v>20</v>
      </c>
      <c r="B23" s="20" t="s">
        <v>50</v>
      </c>
      <c r="C23" s="25" t="s">
        <v>35</v>
      </c>
      <c r="D23" s="20">
        <v>1184</v>
      </c>
      <c r="E23" s="20">
        <v>0</v>
      </c>
      <c r="F23" s="20">
        <v>1184</v>
      </c>
      <c r="G23" s="19">
        <v>0</v>
      </c>
      <c r="H23" s="20">
        <v>1184</v>
      </c>
      <c r="I23" s="19">
        <v>0</v>
      </c>
      <c r="J23" s="19">
        <v>1184.2</v>
      </c>
      <c r="K23" s="19">
        <v>0</v>
      </c>
      <c r="L23" s="19">
        <v>1184.2</v>
      </c>
      <c r="M23" s="19">
        <v>0</v>
      </c>
      <c r="N23" s="19">
        <v>1184.2</v>
      </c>
      <c r="O23" s="19">
        <v>0</v>
      </c>
      <c r="P23" s="19">
        <v>1184.2</v>
      </c>
      <c r="Q23" s="19">
        <v>0</v>
      </c>
      <c r="R23" s="19">
        <v>1184.2</v>
      </c>
      <c r="S23" s="19">
        <v>0</v>
      </c>
      <c r="T23" s="19">
        <v>1184.2</v>
      </c>
      <c r="U23" s="19">
        <v>0</v>
      </c>
      <c r="V23" s="19">
        <v>1184.2</v>
      </c>
      <c r="W23" s="19">
        <v>0</v>
      </c>
      <c r="X23" s="18"/>
      <c r="Y23" s="22"/>
      <c r="Z23" s="31">
        <f t="shared" si="0"/>
        <v>1184.2</v>
      </c>
      <c r="AA23" s="32">
        <v>0</v>
      </c>
      <c r="AB23" s="20">
        <v>0</v>
      </c>
    </row>
    <row r="24" spans="1:28" ht="15.75">
      <c r="A24" s="19">
        <v>21</v>
      </c>
      <c r="B24" s="20" t="s">
        <v>50</v>
      </c>
      <c r="C24" s="25" t="s">
        <v>36</v>
      </c>
      <c r="D24" s="20">
        <v>0</v>
      </c>
      <c r="E24" s="20">
        <v>0</v>
      </c>
      <c r="F24" s="20">
        <v>0</v>
      </c>
      <c r="G24" s="19">
        <v>0</v>
      </c>
      <c r="H24" s="20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8"/>
      <c r="Y24" s="22"/>
      <c r="Z24" s="31">
        <f t="shared" si="0"/>
        <v>0</v>
      </c>
      <c r="AA24" s="32">
        <v>0</v>
      </c>
      <c r="AB24" s="20">
        <v>0</v>
      </c>
    </row>
    <row r="25" spans="1:28" ht="15.75">
      <c r="A25" s="19">
        <v>22</v>
      </c>
      <c r="B25" s="99" t="s">
        <v>50</v>
      </c>
      <c r="C25" s="25" t="s">
        <v>37</v>
      </c>
      <c r="D25" s="20">
        <v>0</v>
      </c>
      <c r="E25" s="20">
        <v>0</v>
      </c>
      <c r="F25" s="20">
        <v>0</v>
      </c>
      <c r="G25" s="19">
        <v>0</v>
      </c>
      <c r="H25" s="20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8"/>
      <c r="Y25" s="22"/>
      <c r="Z25" s="31">
        <f t="shared" si="0"/>
        <v>0</v>
      </c>
      <c r="AA25" s="32">
        <v>0</v>
      </c>
      <c r="AB25" s="20">
        <v>0</v>
      </c>
    </row>
    <row r="26" spans="1:28" ht="15.75">
      <c r="A26" s="19">
        <v>23</v>
      </c>
      <c r="B26" s="20" t="s">
        <v>50</v>
      </c>
      <c r="C26" s="21" t="s">
        <v>38</v>
      </c>
      <c r="D26" s="20">
        <v>0</v>
      </c>
      <c r="E26" s="20">
        <v>0</v>
      </c>
      <c r="F26" s="20">
        <v>0</v>
      </c>
      <c r="G26" s="19">
        <v>0</v>
      </c>
      <c r="H26" s="20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8"/>
      <c r="Y26" s="22"/>
      <c r="Z26" s="31">
        <f t="shared" si="0"/>
        <v>0</v>
      </c>
      <c r="AA26" s="32">
        <f t="shared" ref="AA26:AA29" si="2">Z26/19</f>
        <v>0</v>
      </c>
      <c r="AB26" s="20">
        <v>0</v>
      </c>
    </row>
    <row r="27" spans="1:28" ht="15.75">
      <c r="A27" s="19">
        <v>24</v>
      </c>
      <c r="B27" s="20" t="s">
        <v>50</v>
      </c>
      <c r="C27" s="21" t="s">
        <v>39</v>
      </c>
      <c r="D27" s="20">
        <f>E27*1.4</f>
        <v>200.2</v>
      </c>
      <c r="E27" s="20">
        <v>143</v>
      </c>
      <c r="F27" s="20">
        <v>200.2</v>
      </c>
      <c r="G27" s="19">
        <v>143</v>
      </c>
      <c r="H27" s="20">
        <v>200.2</v>
      </c>
      <c r="I27" s="19">
        <v>143</v>
      </c>
      <c r="J27" s="19">
        <f>K27*1.4</f>
        <v>193.2</v>
      </c>
      <c r="K27" s="19">
        <v>138</v>
      </c>
      <c r="L27" s="19">
        <f>M27*1.4</f>
        <v>193.2</v>
      </c>
      <c r="M27" s="19">
        <v>138</v>
      </c>
      <c r="N27" s="19">
        <f>O27*1.4</f>
        <v>193.2</v>
      </c>
      <c r="O27" s="19">
        <v>138</v>
      </c>
      <c r="P27" s="19">
        <v>193.2</v>
      </c>
      <c r="Q27" s="19">
        <v>138</v>
      </c>
      <c r="R27" s="19">
        <v>193.2</v>
      </c>
      <c r="S27" s="19">
        <v>138</v>
      </c>
      <c r="T27" s="19">
        <v>193.2</v>
      </c>
      <c r="U27" s="19">
        <v>138</v>
      </c>
      <c r="V27" s="19">
        <v>193.2</v>
      </c>
      <c r="W27" s="19">
        <v>138</v>
      </c>
      <c r="X27" s="18"/>
      <c r="Y27" s="22"/>
      <c r="Z27" s="31">
        <f t="shared" si="0"/>
        <v>193.2</v>
      </c>
      <c r="AA27" s="32">
        <f>Z27/1.4</f>
        <v>138</v>
      </c>
      <c r="AB27" s="20">
        <v>0</v>
      </c>
    </row>
    <row r="28" spans="1:28" ht="15.75">
      <c r="A28" s="19">
        <v>25</v>
      </c>
      <c r="B28" s="20" t="s">
        <v>50</v>
      </c>
      <c r="C28" s="21" t="s">
        <v>40</v>
      </c>
      <c r="D28" s="20">
        <f>E28*0.4</f>
        <v>1030.8</v>
      </c>
      <c r="E28" s="20">
        <v>2577</v>
      </c>
      <c r="F28" s="20">
        <f>G28*0.4</f>
        <v>1030.8</v>
      </c>
      <c r="G28" s="19">
        <v>2577</v>
      </c>
      <c r="H28" s="20">
        <f>I28*0.4</f>
        <v>1030.8</v>
      </c>
      <c r="I28" s="19">
        <v>2577</v>
      </c>
      <c r="J28" s="19">
        <f>K28*0.4</f>
        <v>722.80000000000007</v>
      </c>
      <c r="K28" s="19">
        <v>1807</v>
      </c>
      <c r="L28" s="19">
        <f>M28*0.4</f>
        <v>722.80000000000007</v>
      </c>
      <c r="M28" s="19">
        <v>1807</v>
      </c>
      <c r="N28" s="19">
        <f>O28*0.4</f>
        <v>722.80000000000007</v>
      </c>
      <c r="O28" s="19">
        <v>1807</v>
      </c>
      <c r="P28" s="19">
        <v>722.8</v>
      </c>
      <c r="Q28" s="19">
        <v>1807</v>
      </c>
      <c r="R28" s="19">
        <v>722.8</v>
      </c>
      <c r="S28" s="19">
        <v>1807</v>
      </c>
      <c r="T28" s="19">
        <v>722.8</v>
      </c>
      <c r="U28" s="19">
        <v>1807</v>
      </c>
      <c r="V28" s="19">
        <v>722.8</v>
      </c>
      <c r="W28" s="19">
        <v>1807</v>
      </c>
      <c r="X28" s="18"/>
      <c r="Y28" s="22"/>
      <c r="Z28" s="31">
        <f t="shared" si="0"/>
        <v>722.80000000000007</v>
      </c>
      <c r="AA28" s="32">
        <f>Z28/0.4</f>
        <v>1807</v>
      </c>
      <c r="AB28" s="20">
        <v>0</v>
      </c>
    </row>
    <row r="29" spans="1:28" ht="15.75">
      <c r="A29" s="19">
        <v>26</v>
      </c>
      <c r="B29" s="20" t="s">
        <v>50</v>
      </c>
      <c r="C29" s="21" t="s">
        <v>41</v>
      </c>
      <c r="D29" s="20">
        <v>0</v>
      </c>
      <c r="E29" s="20">
        <v>0</v>
      </c>
      <c r="F29" s="20">
        <v>0</v>
      </c>
      <c r="G29" s="19">
        <v>0</v>
      </c>
      <c r="H29" s="20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8"/>
      <c r="Y29" s="22"/>
      <c r="Z29" s="31">
        <f t="shared" si="0"/>
        <v>0</v>
      </c>
      <c r="AA29" s="32">
        <f t="shared" si="2"/>
        <v>0</v>
      </c>
      <c r="AB29" s="20">
        <v>0</v>
      </c>
    </row>
    <row r="30" spans="1:28" ht="15.75">
      <c r="A30" s="19">
        <v>27</v>
      </c>
      <c r="B30" s="20" t="s">
        <v>50</v>
      </c>
      <c r="C30" s="21" t="s">
        <v>42</v>
      </c>
      <c r="D30" s="20">
        <f>E30*0.6</f>
        <v>1465.8</v>
      </c>
      <c r="E30" s="20">
        <v>2443</v>
      </c>
      <c r="F30" s="20">
        <f>G30*0.6</f>
        <v>1465.8</v>
      </c>
      <c r="G30" s="19">
        <v>2443</v>
      </c>
      <c r="H30" s="20">
        <f>I30*0.6</f>
        <v>1465.8</v>
      </c>
      <c r="I30" s="19">
        <v>2443</v>
      </c>
      <c r="J30" s="19">
        <f>K30*0.6</f>
        <v>1393.8</v>
      </c>
      <c r="K30" s="19">
        <v>2323</v>
      </c>
      <c r="L30" s="19">
        <f>M30*0.6</f>
        <v>1393.8</v>
      </c>
      <c r="M30" s="19">
        <v>2323</v>
      </c>
      <c r="N30" s="19">
        <f>O30*0.6</f>
        <v>1393.8</v>
      </c>
      <c r="O30" s="19">
        <v>2323</v>
      </c>
      <c r="P30" s="19">
        <v>1393</v>
      </c>
      <c r="Q30" s="19">
        <v>2323</v>
      </c>
      <c r="R30" s="19">
        <v>1393</v>
      </c>
      <c r="S30" s="19">
        <v>2323</v>
      </c>
      <c r="T30" s="19">
        <v>1393</v>
      </c>
      <c r="U30" s="19">
        <v>2323</v>
      </c>
      <c r="V30" s="19">
        <v>1393</v>
      </c>
      <c r="W30" s="19">
        <v>2323</v>
      </c>
      <c r="X30" s="18"/>
      <c r="Y30" s="22"/>
      <c r="Z30" s="31">
        <f t="shared" si="0"/>
        <v>1393.8</v>
      </c>
      <c r="AA30" s="32">
        <f>Z30/0.6</f>
        <v>2323</v>
      </c>
      <c r="AB30" s="20">
        <v>0</v>
      </c>
    </row>
    <row r="31" spans="1:28" ht="15.75">
      <c r="A31" s="19">
        <v>31</v>
      </c>
      <c r="B31" s="20" t="s">
        <v>50</v>
      </c>
      <c r="C31" s="21" t="s">
        <v>43</v>
      </c>
      <c r="D31" s="20">
        <v>0</v>
      </c>
      <c r="E31" s="20">
        <v>363</v>
      </c>
      <c r="F31" s="20">
        <v>0</v>
      </c>
      <c r="G31" s="19">
        <v>363</v>
      </c>
      <c r="H31" s="20">
        <v>0</v>
      </c>
      <c r="I31" s="19">
        <v>363</v>
      </c>
      <c r="J31" s="19"/>
      <c r="K31" s="19">
        <v>363</v>
      </c>
      <c r="L31" s="19">
        <v>0</v>
      </c>
      <c r="M31" s="19">
        <v>363</v>
      </c>
      <c r="N31" s="19">
        <v>0</v>
      </c>
      <c r="O31" s="19">
        <v>363</v>
      </c>
      <c r="P31" s="19">
        <v>0</v>
      </c>
      <c r="Q31" s="19">
        <v>363</v>
      </c>
      <c r="R31" s="19">
        <v>0</v>
      </c>
      <c r="S31" s="19">
        <v>363</v>
      </c>
      <c r="T31" s="19">
        <v>0</v>
      </c>
      <c r="U31" s="19">
        <v>363</v>
      </c>
      <c r="V31" s="19">
        <v>0</v>
      </c>
      <c r="W31" s="19">
        <v>363</v>
      </c>
      <c r="X31" s="18"/>
      <c r="Y31" s="22"/>
      <c r="Z31" s="31">
        <f t="shared" si="0"/>
        <v>0</v>
      </c>
      <c r="AA31" s="32">
        <v>363</v>
      </c>
      <c r="AB31" s="20">
        <v>0</v>
      </c>
    </row>
    <row r="32" spans="1:28" ht="15.75">
      <c r="A32" s="20"/>
      <c r="B32" s="20"/>
      <c r="C32" s="20"/>
      <c r="D32" s="30">
        <f>D6+D7+D9+D10+D12+D13+D14+D16+D17+D18+D19+D20+D23+D27+D28+D30</f>
        <v>58760.040000000008</v>
      </c>
      <c r="E32" s="30">
        <f>SUM(E4:E31)</f>
        <v>7896</v>
      </c>
      <c r="F32" s="28">
        <f>F6+F7+F9+F10+F12+F13+F14+F16+F17+F18+F19+F20+F23+F27+F28+F30</f>
        <v>58760.040000000008</v>
      </c>
      <c r="G32" s="20">
        <f>SUM(G4:G31)</f>
        <v>7896</v>
      </c>
      <c r="H32" s="28">
        <f>H6+H7+H9+H10+H12+H13+H14+H16+H17+H18+H19+H20+H23+H27+H28+H30</f>
        <v>58760.040000000008</v>
      </c>
      <c r="I32" s="20">
        <f>SUM(I4:I31)</f>
        <v>7896</v>
      </c>
      <c r="J32" s="20">
        <f>J6+J7+J9+J10+J12+J13+J14+J16+J17+J18+J19+J20+J23+J27+J28+J30</f>
        <v>53571.44</v>
      </c>
      <c r="K32" s="20">
        <f>K6+K7+K9+K10+K12+K16+K27+K28+K30+K31</f>
        <v>7273</v>
      </c>
      <c r="L32" s="20">
        <f>L6+L7+L9+L10+L12+L13+L14+L16+L17+L18+L19+L20+L23+L27+L28+L30</f>
        <v>53571.039999999994</v>
      </c>
      <c r="M32" s="20">
        <f>M6+M7+M9+M10+M12+M16+M17+M27+M28+M30+M31</f>
        <v>7274</v>
      </c>
      <c r="N32" s="244">
        <f>N6+N7+N9+N10+N12+N13+N14+N16+N17+N18+N19+N20+N23+N27+N28+N30</f>
        <v>53571.039999999994</v>
      </c>
      <c r="O32" s="20"/>
      <c r="P32" s="20">
        <f>P6+P7+P9+P10+P12+P13+P14+P16+P17+P18+P19+P20+P23+P28+P30+P27</f>
        <v>53571.039999999994</v>
      </c>
      <c r="Q32" s="20">
        <f>SUM(Q4:Q31)</f>
        <v>6801</v>
      </c>
      <c r="R32" s="20">
        <f>R6+R7+R9+R10+R12+R13+R14+R16+R17+R18+R19+R20+R23+R28+R30+R27</f>
        <v>53571.039999999994</v>
      </c>
      <c r="S32" s="20">
        <f>SUM(S4:S31)</f>
        <v>6801</v>
      </c>
      <c r="T32" s="20">
        <f>T6+T7+T9+T10+T12+T13+T14+T16+T17+T18+T19+T20+T23+T28+T30+T27</f>
        <v>53571.039999999994</v>
      </c>
      <c r="U32" s="20">
        <f>SUM(U4:U31)</f>
        <v>6801</v>
      </c>
      <c r="V32" s="99">
        <f>V6+V7+V9+V10+V12+V13+V14+V16+V17+V18+V19+V20+V23+V28+V30+V27</f>
        <v>53571.039999999994</v>
      </c>
      <c r="W32" s="20">
        <f>SUM(W4:W31)</f>
        <v>6801</v>
      </c>
      <c r="X32" s="18"/>
      <c r="Y32" s="22"/>
      <c r="Z32" s="31">
        <f>N32+O32-X32</f>
        <v>53571.039999999994</v>
      </c>
      <c r="AA32" s="32">
        <f>SUM(AA5:AA31)</f>
        <v>6798.4824561403511</v>
      </c>
      <c r="AB32" s="28"/>
    </row>
    <row r="33" spans="1:28" ht="15.75">
      <c r="A33" s="28"/>
      <c r="B33" s="28"/>
      <c r="C33" s="17" t="s">
        <v>151</v>
      </c>
      <c r="D33" s="103">
        <f>D4+D5+D8+D11</f>
        <v>-25307.45</v>
      </c>
      <c r="E33" s="40"/>
      <c r="F33" s="28">
        <f>F4+F5+F8+F11</f>
        <v>-25307.45</v>
      </c>
      <c r="G33" s="28"/>
      <c r="H33" s="28"/>
      <c r="I33" s="28"/>
      <c r="J33" s="28"/>
      <c r="K33" s="28"/>
      <c r="L33" s="28"/>
      <c r="M33" s="28"/>
      <c r="N33" s="28">
        <f>N4+N5+N8+N11</f>
        <v>-30588.45</v>
      </c>
      <c r="O33" s="28"/>
      <c r="P33" s="28">
        <f>P4+P5+P8+P11</f>
        <v>-30588.45</v>
      </c>
      <c r="Q33" s="28"/>
      <c r="R33" s="19">
        <f>P33</f>
        <v>-30588.45</v>
      </c>
      <c r="S33" s="28"/>
      <c r="T33" s="19">
        <f>R33</f>
        <v>-30588.45</v>
      </c>
      <c r="U33" s="28"/>
      <c r="V33" s="103">
        <f>V4+V5+V8+V11</f>
        <v>-30588.45</v>
      </c>
      <c r="W33" s="28"/>
      <c r="X33" s="28"/>
      <c r="Y33" s="20" t="s">
        <v>44</v>
      </c>
      <c r="Z33" s="20" t="e">
        <f>Z4+Z5+Z8+Z11</f>
        <v>#VALUE!</v>
      </c>
      <c r="AA33" s="28"/>
      <c r="AB33" s="28"/>
    </row>
    <row r="34" spans="1:28" ht="15.75">
      <c r="C34" s="173" t="s">
        <v>152</v>
      </c>
      <c r="D34" s="40">
        <f>SUM(D32:D33)</f>
        <v>33452.590000000011</v>
      </c>
      <c r="F34">
        <f>SUM(F32:F33)</f>
        <v>33452.590000000011</v>
      </c>
      <c r="N34" s="243">
        <f>SUM(N32:N33)</f>
        <v>22982.589999999993</v>
      </c>
      <c r="P34" s="243">
        <f>SUM(P32:P33)</f>
        <v>22982.589999999993</v>
      </c>
      <c r="R34">
        <f>SUM(R32:R33)</f>
        <v>22982.589999999993</v>
      </c>
      <c r="T34">
        <f>T32+T33</f>
        <v>22982.589999999993</v>
      </c>
      <c r="V34" s="243">
        <f>SUM(V32:V33)</f>
        <v>22982.589999999993</v>
      </c>
      <c r="Z34" s="35" t="e">
        <f>SUM(Z32:Z33)</f>
        <v>#VALUE!</v>
      </c>
    </row>
  </sheetData>
  <mergeCells count="11">
    <mergeCell ref="A1:AB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51" top="0.51" bottom="0.75" header="0.3" footer="0.3"/>
  <pageSetup paperSize="9" scale="88" orientation="landscape" r:id="rId1"/>
  <ignoredErrors>
    <ignoredError sqref="AA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36"/>
  <sheetViews>
    <sheetView topLeftCell="B5" zoomScale="106" zoomScaleNormal="106" workbookViewId="0">
      <selection activeCell="V4" sqref="V4:V31"/>
    </sheetView>
  </sheetViews>
  <sheetFormatPr defaultColWidth="9" defaultRowHeight="15"/>
  <cols>
    <col min="2" max="2" width="14.140625" customWidth="1"/>
    <col min="3" max="3" width="24" customWidth="1"/>
    <col min="4" max="4" width="13.42578125" hidden="1" customWidth="1"/>
    <col min="5" max="5" width="13" hidden="1" customWidth="1"/>
    <col min="6" max="6" width="13.42578125" hidden="1" customWidth="1"/>
    <col min="7" max="7" width="13" hidden="1" customWidth="1"/>
    <col min="8" max="8" width="13.42578125" hidden="1" customWidth="1"/>
    <col min="9" max="9" width="13" hidden="1" customWidth="1"/>
    <col min="10" max="10" width="13.42578125" hidden="1" customWidth="1"/>
    <col min="11" max="11" width="13" hidden="1" customWidth="1"/>
    <col min="12" max="12" width="13.42578125" hidden="1" customWidth="1"/>
    <col min="13" max="13" width="13" hidden="1" customWidth="1"/>
    <col min="14" max="14" width="13.42578125" hidden="1" customWidth="1"/>
    <col min="15" max="15" width="13" hidden="1" customWidth="1"/>
    <col min="16" max="16" width="13.42578125" hidden="1" customWidth="1"/>
    <col min="17" max="17" width="13" hidden="1" customWidth="1"/>
    <col min="18" max="18" width="13.42578125" hidden="1" customWidth="1"/>
    <col min="19" max="19" width="13" hidden="1" customWidth="1"/>
    <col min="20" max="23" width="12.7109375" customWidth="1"/>
    <col min="24" max="25" width="13.28515625" customWidth="1"/>
    <col min="26" max="26" width="16.28515625" bestFit="1" customWidth="1"/>
    <col min="28" max="28" width="9.28515625" customWidth="1"/>
    <col min="29" max="29" width="9.5703125" bestFit="1" customWidth="1"/>
  </cols>
  <sheetData>
    <row r="1" spans="1:28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8" ht="51.7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289" t="s">
        <v>164</v>
      </c>
      <c r="M2" s="290"/>
      <c r="N2" s="289" t="s">
        <v>171</v>
      </c>
      <c r="O2" s="290"/>
      <c r="P2" s="289" t="s">
        <v>232</v>
      </c>
      <c r="Q2" s="290"/>
      <c r="R2" s="289" t="s">
        <v>240</v>
      </c>
      <c r="S2" s="290"/>
      <c r="T2" s="289" t="s">
        <v>243</v>
      </c>
      <c r="U2" s="290"/>
      <c r="V2" s="289" t="s">
        <v>247</v>
      </c>
      <c r="W2" s="290"/>
      <c r="X2" s="162" t="s">
        <v>150</v>
      </c>
      <c r="Y2" s="162" t="s">
        <v>150</v>
      </c>
      <c r="Z2" s="108" t="s">
        <v>153</v>
      </c>
      <c r="AA2" s="108"/>
      <c r="AB2" s="108"/>
    </row>
    <row r="3" spans="1:28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7" t="s">
        <v>4</v>
      </c>
      <c r="U3" s="17" t="s">
        <v>109</v>
      </c>
      <c r="V3" s="17" t="s">
        <v>4</v>
      </c>
      <c r="W3" s="17" t="s">
        <v>109</v>
      </c>
      <c r="X3" s="18" t="s">
        <v>125</v>
      </c>
      <c r="Y3" s="18" t="s">
        <v>8</v>
      </c>
      <c r="Z3" s="17" t="s">
        <v>10</v>
      </c>
      <c r="AA3" s="17" t="s">
        <v>11</v>
      </c>
      <c r="AB3" s="20" t="s">
        <v>12</v>
      </c>
    </row>
    <row r="4" spans="1:28" ht="15.75">
      <c r="A4" s="19">
        <v>1</v>
      </c>
      <c r="B4" s="20" t="s">
        <v>51</v>
      </c>
      <c r="C4" s="21" t="s">
        <v>14</v>
      </c>
      <c r="D4" s="20">
        <v>60336.4</v>
      </c>
      <c r="E4" s="20">
        <v>0</v>
      </c>
      <c r="F4" s="20">
        <v>60336.4</v>
      </c>
      <c r="G4" s="20"/>
      <c r="H4" s="20">
        <f>61437.4</f>
        <v>61437.4</v>
      </c>
      <c r="I4" s="20">
        <v>0</v>
      </c>
      <c r="J4" s="20">
        <v>63380.4</v>
      </c>
      <c r="K4" s="20">
        <v>0</v>
      </c>
      <c r="L4" s="20">
        <v>63380.4</v>
      </c>
      <c r="M4" s="20">
        <v>0</v>
      </c>
      <c r="N4" s="20">
        <v>63380.4</v>
      </c>
      <c r="O4" s="20">
        <v>0</v>
      </c>
      <c r="P4" s="20">
        <v>63380.4</v>
      </c>
      <c r="Q4" s="20">
        <v>0</v>
      </c>
      <c r="R4" s="20">
        <v>63180.4</v>
      </c>
      <c r="S4" s="20">
        <v>0</v>
      </c>
      <c r="T4" s="20">
        <v>62680.4</v>
      </c>
      <c r="U4" s="20"/>
      <c r="V4" s="20">
        <v>59366.400000000001</v>
      </c>
      <c r="W4" s="20">
        <v>0</v>
      </c>
      <c r="X4" s="22"/>
      <c r="Y4" s="22">
        <f>T4-V4</f>
        <v>3314</v>
      </c>
      <c r="Z4" s="31">
        <f>N4+X4-Y4</f>
        <v>60066.400000000001</v>
      </c>
      <c r="AA4" s="20">
        <f>O4</f>
        <v>0</v>
      </c>
      <c r="AB4" s="28"/>
    </row>
    <row r="5" spans="1:28" ht="15.75">
      <c r="A5" s="19">
        <v>2</v>
      </c>
      <c r="B5" s="20" t="s">
        <v>51</v>
      </c>
      <c r="C5" s="21" t="s">
        <v>15</v>
      </c>
      <c r="D5" s="20">
        <v>53469</v>
      </c>
      <c r="E5" s="20">
        <v>2782</v>
      </c>
      <c r="F5" s="20">
        <v>53469</v>
      </c>
      <c r="G5" s="20">
        <v>2782</v>
      </c>
      <c r="H5" s="20">
        <v>53469</v>
      </c>
      <c r="I5" s="20">
        <v>2782</v>
      </c>
      <c r="J5" s="20">
        <v>53469</v>
      </c>
      <c r="K5" s="20">
        <v>2782</v>
      </c>
      <c r="L5" s="20">
        <v>53469</v>
      </c>
      <c r="M5" s="20">
        <v>2782</v>
      </c>
      <c r="N5" s="20">
        <v>52643</v>
      </c>
      <c r="O5" s="20">
        <v>2733</v>
      </c>
      <c r="P5" s="20">
        <v>52643</v>
      </c>
      <c r="Q5" s="20">
        <v>2733</v>
      </c>
      <c r="R5" s="20">
        <v>51683</v>
      </c>
      <c r="S5" s="20">
        <v>2688</v>
      </c>
      <c r="T5" s="20">
        <v>51451</v>
      </c>
      <c r="U5" s="20">
        <v>2685</v>
      </c>
      <c r="V5" s="20">
        <v>47898</v>
      </c>
      <c r="W5" s="20">
        <v>2498</v>
      </c>
      <c r="X5" s="282" t="e">
        <f>-105=problem</f>
        <v>#NAME?</v>
      </c>
      <c r="Y5" s="22">
        <f t="shared" ref="Y5:Y31" si="0">T5-V5</f>
        <v>3553</v>
      </c>
      <c r="Z5" s="31" t="e">
        <f>N5+X5-Y5</f>
        <v>#NAME?</v>
      </c>
      <c r="AA5" s="20">
        <f t="shared" ref="AA5:AA31" si="1">O5</f>
        <v>2733</v>
      </c>
      <c r="AB5" s="20" t="e">
        <f t="shared" ref="AB5:AB12" si="2">Z5/AA5</f>
        <v>#NAME?</v>
      </c>
    </row>
    <row r="6" spans="1:28" ht="15.75">
      <c r="A6" s="19">
        <v>3</v>
      </c>
      <c r="B6" s="20" t="s">
        <v>51</v>
      </c>
      <c r="C6" s="21" t="s">
        <v>16</v>
      </c>
      <c r="D6" s="20">
        <v>23643</v>
      </c>
      <c r="E6" s="20">
        <v>639</v>
      </c>
      <c r="F6" s="20">
        <v>23643</v>
      </c>
      <c r="G6" s="20">
        <v>639</v>
      </c>
      <c r="H6" s="20">
        <v>23643</v>
      </c>
      <c r="I6" s="20">
        <v>639</v>
      </c>
      <c r="J6" s="20">
        <v>23643</v>
      </c>
      <c r="K6" s="20">
        <v>639</v>
      </c>
      <c r="L6" s="20">
        <v>23643</v>
      </c>
      <c r="M6" s="20">
        <v>639</v>
      </c>
      <c r="N6" s="20">
        <v>23421</v>
      </c>
      <c r="O6" s="20">
        <v>633</v>
      </c>
      <c r="P6" s="20">
        <v>23421</v>
      </c>
      <c r="Q6" s="20">
        <v>633</v>
      </c>
      <c r="R6" s="20">
        <v>23310</v>
      </c>
      <c r="S6" s="20">
        <v>630</v>
      </c>
      <c r="T6" s="20">
        <v>23273</v>
      </c>
      <c r="U6" s="20">
        <v>629</v>
      </c>
      <c r="V6" s="20">
        <v>15355</v>
      </c>
      <c r="W6" s="20">
        <v>415</v>
      </c>
      <c r="X6" s="22"/>
      <c r="Y6" s="22">
        <f t="shared" si="0"/>
        <v>7918</v>
      </c>
      <c r="Z6" s="31">
        <f t="shared" ref="Z6:Z31" si="3">N6+X6-Y6</f>
        <v>15503</v>
      </c>
      <c r="AA6" s="20">
        <f t="shared" si="1"/>
        <v>633</v>
      </c>
      <c r="AB6" s="20">
        <f t="shared" si="2"/>
        <v>24.4913112164297</v>
      </c>
    </row>
    <row r="7" spans="1:28" ht="15.75">
      <c r="A7" s="19">
        <v>4</v>
      </c>
      <c r="B7" s="20" t="s">
        <v>51</v>
      </c>
      <c r="C7" s="21" t="s">
        <v>17</v>
      </c>
      <c r="D7" s="20">
        <v>255</v>
      </c>
      <c r="E7" s="20">
        <v>15</v>
      </c>
      <c r="F7" s="20">
        <v>255</v>
      </c>
      <c r="G7" s="20">
        <v>15</v>
      </c>
      <c r="H7" s="20">
        <v>255</v>
      </c>
      <c r="I7" s="20">
        <v>15</v>
      </c>
      <c r="J7" s="20">
        <v>255</v>
      </c>
      <c r="K7" s="20">
        <v>15</v>
      </c>
      <c r="L7" s="20">
        <v>255</v>
      </c>
      <c r="M7" s="20">
        <v>15</v>
      </c>
      <c r="N7" s="20">
        <v>-68</v>
      </c>
      <c r="O7" s="20">
        <v>-4</v>
      </c>
      <c r="P7" s="20">
        <v>-68</v>
      </c>
      <c r="Q7" s="20">
        <v>-4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2"/>
      <c r="Y7" s="22">
        <f t="shared" si="0"/>
        <v>0</v>
      </c>
      <c r="Z7" s="31">
        <f t="shared" si="3"/>
        <v>-68</v>
      </c>
      <c r="AA7" s="20">
        <f t="shared" si="1"/>
        <v>-4</v>
      </c>
      <c r="AB7" s="20">
        <f t="shared" si="2"/>
        <v>17</v>
      </c>
    </row>
    <row r="8" spans="1:28" ht="15.75">
      <c r="A8" s="19">
        <v>5</v>
      </c>
      <c r="B8" s="20" t="s">
        <v>51</v>
      </c>
      <c r="C8" s="21" t="s">
        <v>18</v>
      </c>
      <c r="D8" s="20">
        <v>9510</v>
      </c>
      <c r="E8" s="20">
        <v>1902</v>
      </c>
      <c r="F8" s="20">
        <v>9510</v>
      </c>
      <c r="G8" s="20">
        <v>1902</v>
      </c>
      <c r="H8" s="20">
        <v>9510</v>
      </c>
      <c r="I8" s="20">
        <v>1902</v>
      </c>
      <c r="J8" s="20">
        <v>9510</v>
      </c>
      <c r="K8" s="20">
        <v>1902</v>
      </c>
      <c r="L8" s="20">
        <v>9510</v>
      </c>
      <c r="M8" s="20">
        <v>1902</v>
      </c>
      <c r="N8" s="20">
        <v>9510</v>
      </c>
      <c r="O8" s="20">
        <v>1902</v>
      </c>
      <c r="P8" s="20">
        <v>9510</v>
      </c>
      <c r="Q8" s="20">
        <v>1902</v>
      </c>
      <c r="R8" s="20">
        <v>9510</v>
      </c>
      <c r="S8" s="20">
        <v>1902</v>
      </c>
      <c r="T8" s="20">
        <v>9360</v>
      </c>
      <c r="U8" s="20">
        <v>1872</v>
      </c>
      <c r="V8" s="20">
        <v>7635</v>
      </c>
      <c r="W8" s="20">
        <v>1527</v>
      </c>
      <c r="X8" s="22"/>
      <c r="Y8" s="22">
        <f t="shared" si="0"/>
        <v>1725</v>
      </c>
      <c r="Z8" s="31">
        <f t="shared" si="3"/>
        <v>7785</v>
      </c>
      <c r="AA8" s="20">
        <f t="shared" si="1"/>
        <v>1902</v>
      </c>
      <c r="AB8" s="20">
        <f t="shared" si="2"/>
        <v>4.0930599369085172</v>
      </c>
    </row>
    <row r="9" spans="1:28" ht="15.75">
      <c r="A9" s="19">
        <v>6</v>
      </c>
      <c r="B9" s="20" t="s">
        <v>51</v>
      </c>
      <c r="C9" s="21" t="s">
        <v>19</v>
      </c>
      <c r="D9" s="20">
        <v>1056.5999999999999</v>
      </c>
      <c r="E9" s="20">
        <v>1761</v>
      </c>
      <c r="F9" s="20">
        <v>1056.5999999999999</v>
      </c>
      <c r="G9" s="20">
        <v>1761</v>
      </c>
      <c r="H9" s="20">
        <v>1056.5999999999999</v>
      </c>
      <c r="I9" s="20">
        <v>1761</v>
      </c>
      <c r="J9" s="20">
        <v>1056.5999999999999</v>
      </c>
      <c r="K9" s="20">
        <v>1761</v>
      </c>
      <c r="L9" s="20">
        <v>1056.5999999999999</v>
      </c>
      <c r="M9" s="20">
        <v>1761</v>
      </c>
      <c r="N9" s="20">
        <v>1056.5999999999999</v>
      </c>
      <c r="O9" s="20">
        <v>1761</v>
      </c>
      <c r="P9" s="20">
        <v>1056.5999999999999</v>
      </c>
      <c r="Q9" s="20">
        <v>1761</v>
      </c>
      <c r="R9" s="20">
        <v>1056.5999999999999</v>
      </c>
      <c r="S9" s="20">
        <v>1761</v>
      </c>
      <c r="T9" s="20">
        <v>876</v>
      </c>
      <c r="U9" s="20">
        <v>1461</v>
      </c>
      <c r="V9" s="20">
        <v>858</v>
      </c>
      <c r="W9" s="20">
        <v>1431</v>
      </c>
      <c r="X9" s="22"/>
      <c r="Y9" s="22">
        <f t="shared" si="0"/>
        <v>18</v>
      </c>
      <c r="Z9" s="31">
        <f t="shared" si="3"/>
        <v>1038.5999999999999</v>
      </c>
      <c r="AA9" s="20">
        <f t="shared" si="1"/>
        <v>1761</v>
      </c>
      <c r="AB9" s="20">
        <f t="shared" si="2"/>
        <v>0.58977853492333898</v>
      </c>
    </row>
    <row r="10" spans="1:28" ht="15.75">
      <c r="A10" s="19">
        <v>7</v>
      </c>
      <c r="B10" s="20" t="s">
        <v>51</v>
      </c>
      <c r="C10" s="24" t="s">
        <v>20</v>
      </c>
      <c r="D10" s="20">
        <v>480</v>
      </c>
      <c r="E10" s="20">
        <v>96</v>
      </c>
      <c r="F10" s="20">
        <v>480</v>
      </c>
      <c r="G10" s="20">
        <v>96</v>
      </c>
      <c r="H10" s="20">
        <v>480</v>
      </c>
      <c r="I10" s="20">
        <v>96</v>
      </c>
      <c r="J10" s="20">
        <v>480</v>
      </c>
      <c r="K10" s="20">
        <v>96</v>
      </c>
      <c r="L10" s="20">
        <v>480</v>
      </c>
      <c r="M10" s="20">
        <v>96</v>
      </c>
      <c r="N10" s="20">
        <v>480</v>
      </c>
      <c r="O10" s="20">
        <v>96</v>
      </c>
      <c r="P10" s="20">
        <v>480</v>
      </c>
      <c r="Q10" s="20">
        <v>96</v>
      </c>
      <c r="R10" s="20">
        <v>480</v>
      </c>
      <c r="S10" s="20">
        <v>96</v>
      </c>
      <c r="T10" s="20">
        <v>355</v>
      </c>
      <c r="U10" s="20">
        <v>71</v>
      </c>
      <c r="V10" s="20">
        <v>300</v>
      </c>
      <c r="W10" s="20">
        <v>60</v>
      </c>
      <c r="X10" s="22"/>
      <c r="Y10" s="22">
        <f t="shared" si="0"/>
        <v>55</v>
      </c>
      <c r="Z10" s="31">
        <f t="shared" si="3"/>
        <v>425</v>
      </c>
      <c r="AA10" s="20">
        <f t="shared" si="1"/>
        <v>96</v>
      </c>
      <c r="AB10" s="20">
        <f t="shared" si="2"/>
        <v>4.427083333333333</v>
      </c>
    </row>
    <row r="11" spans="1:28" ht="15.75">
      <c r="A11" s="19">
        <v>8</v>
      </c>
      <c r="B11" s="20" t="s">
        <v>51</v>
      </c>
      <c r="C11" s="24" t="s">
        <v>22</v>
      </c>
      <c r="D11" s="20">
        <v>10725</v>
      </c>
      <c r="E11" s="20">
        <v>2145</v>
      </c>
      <c r="F11" s="20">
        <v>10725</v>
      </c>
      <c r="G11" s="20">
        <v>2145</v>
      </c>
      <c r="H11" s="20">
        <v>11225</v>
      </c>
      <c r="I11" s="20">
        <v>2245</v>
      </c>
      <c r="J11" s="20">
        <v>11625</v>
      </c>
      <c r="K11" s="20">
        <v>2325</v>
      </c>
      <c r="L11" s="20">
        <v>11625</v>
      </c>
      <c r="M11" s="20">
        <v>2325</v>
      </c>
      <c r="N11" s="20">
        <v>11625</v>
      </c>
      <c r="O11" s="20">
        <v>2325</v>
      </c>
      <c r="P11" s="20">
        <v>11625</v>
      </c>
      <c r="Q11" s="20">
        <v>2325</v>
      </c>
      <c r="R11" s="20">
        <v>11620</v>
      </c>
      <c r="S11" s="20">
        <v>2324</v>
      </c>
      <c r="T11" s="20">
        <v>11155</v>
      </c>
      <c r="U11" s="20">
        <v>2231</v>
      </c>
      <c r="V11" s="20">
        <v>10145</v>
      </c>
      <c r="W11" s="20">
        <v>2029</v>
      </c>
      <c r="X11" s="22"/>
      <c r="Y11" s="22">
        <f t="shared" si="0"/>
        <v>1010</v>
      </c>
      <c r="Z11" s="31">
        <f t="shared" si="3"/>
        <v>10615</v>
      </c>
      <c r="AA11" s="20">
        <f t="shared" si="1"/>
        <v>2325</v>
      </c>
      <c r="AB11" s="20">
        <f t="shared" si="2"/>
        <v>4.5655913978494622</v>
      </c>
    </row>
    <row r="12" spans="1:28" ht="15.75">
      <c r="A12" s="19">
        <v>9</v>
      </c>
      <c r="B12" s="20" t="s">
        <v>51</v>
      </c>
      <c r="C12" s="24" t="s">
        <v>23</v>
      </c>
      <c r="D12" s="20">
        <v>1002.4</v>
      </c>
      <c r="E12" s="20">
        <v>1253</v>
      </c>
      <c r="F12" s="20">
        <v>1002.4</v>
      </c>
      <c r="G12" s="20">
        <v>1253</v>
      </c>
      <c r="H12" s="20">
        <v>1002.4</v>
      </c>
      <c r="I12" s="20">
        <v>1253</v>
      </c>
      <c r="J12" s="20">
        <v>1002</v>
      </c>
      <c r="K12" s="20">
        <v>1253</v>
      </c>
      <c r="L12" s="20">
        <v>1002.4</v>
      </c>
      <c r="M12" s="20">
        <v>1253</v>
      </c>
      <c r="N12" s="20">
        <v>1002.4</v>
      </c>
      <c r="O12" s="20">
        <v>1253</v>
      </c>
      <c r="P12" s="20">
        <v>1002.4</v>
      </c>
      <c r="Q12" s="20">
        <v>1253</v>
      </c>
      <c r="R12" s="20">
        <v>1002.4</v>
      </c>
      <c r="S12" s="20">
        <v>1253</v>
      </c>
      <c r="T12" s="20">
        <v>998</v>
      </c>
      <c r="U12" s="20">
        <v>1248</v>
      </c>
      <c r="V12" s="20">
        <v>982</v>
      </c>
      <c r="W12" s="20">
        <v>1228</v>
      </c>
      <c r="X12" s="22"/>
      <c r="Y12" s="22">
        <f t="shared" si="0"/>
        <v>16</v>
      </c>
      <c r="Z12" s="31">
        <f t="shared" si="3"/>
        <v>986.4</v>
      </c>
      <c r="AA12" s="20">
        <f t="shared" si="1"/>
        <v>1253</v>
      </c>
      <c r="AB12" s="20">
        <f t="shared" si="2"/>
        <v>0.78723064644852347</v>
      </c>
    </row>
    <row r="13" spans="1:28" ht="15.75">
      <c r="A13" s="19">
        <v>10</v>
      </c>
      <c r="B13" s="20" t="s">
        <v>51</v>
      </c>
      <c r="C13" s="24" t="s">
        <v>25</v>
      </c>
      <c r="D13" s="20">
        <v>8336</v>
      </c>
      <c r="E13" s="20">
        <v>0</v>
      </c>
      <c r="F13" s="20">
        <v>8336</v>
      </c>
      <c r="G13" s="20">
        <v>0</v>
      </c>
      <c r="H13" s="20">
        <v>8336</v>
      </c>
      <c r="I13" s="20">
        <v>0</v>
      </c>
      <c r="J13" s="20">
        <v>8336</v>
      </c>
      <c r="K13" s="20">
        <v>0</v>
      </c>
      <c r="L13" s="20">
        <v>8336</v>
      </c>
      <c r="M13" s="20">
        <v>0</v>
      </c>
      <c r="N13" s="20">
        <v>8336</v>
      </c>
      <c r="O13" s="20">
        <v>0</v>
      </c>
      <c r="P13" s="20">
        <v>8336</v>
      </c>
      <c r="Q13" s="20">
        <v>0</v>
      </c>
      <c r="R13" s="20">
        <v>8336</v>
      </c>
      <c r="S13" s="20">
        <v>0</v>
      </c>
      <c r="T13" s="20">
        <v>8336</v>
      </c>
      <c r="U13" s="20">
        <v>0</v>
      </c>
      <c r="V13" s="20">
        <v>8336</v>
      </c>
      <c r="W13" s="20">
        <v>0</v>
      </c>
      <c r="X13" s="22"/>
      <c r="Y13" s="22">
        <f t="shared" si="0"/>
        <v>0</v>
      </c>
      <c r="Z13" s="31">
        <f t="shared" si="3"/>
        <v>8336</v>
      </c>
      <c r="AA13" s="20">
        <f t="shared" si="1"/>
        <v>0</v>
      </c>
      <c r="AB13" s="20">
        <v>0</v>
      </c>
    </row>
    <row r="14" spans="1:28" ht="15.75">
      <c r="A14" s="19">
        <v>11</v>
      </c>
      <c r="B14" s="20" t="s">
        <v>51</v>
      </c>
      <c r="C14" s="24" t="s">
        <v>26</v>
      </c>
      <c r="D14" s="20">
        <v>8558</v>
      </c>
      <c r="E14" s="20">
        <v>0</v>
      </c>
      <c r="F14" s="20">
        <v>8558</v>
      </c>
      <c r="G14" s="20">
        <v>0</v>
      </c>
      <c r="H14" s="20">
        <v>8558</v>
      </c>
      <c r="I14" s="20">
        <v>0</v>
      </c>
      <c r="J14" s="20">
        <v>8558</v>
      </c>
      <c r="K14" s="20">
        <v>0</v>
      </c>
      <c r="L14" s="20">
        <v>8558</v>
      </c>
      <c r="M14" s="20">
        <v>0</v>
      </c>
      <c r="N14" s="20">
        <v>8558</v>
      </c>
      <c r="O14" s="20">
        <v>0</v>
      </c>
      <c r="P14" s="20">
        <v>8558</v>
      </c>
      <c r="Q14" s="20">
        <v>0</v>
      </c>
      <c r="R14" s="20">
        <v>8468</v>
      </c>
      <c r="S14" s="20">
        <v>0</v>
      </c>
      <c r="T14" s="20">
        <v>8168</v>
      </c>
      <c r="U14" s="20">
        <v>0</v>
      </c>
      <c r="V14" s="20">
        <v>7646</v>
      </c>
      <c r="W14" s="20">
        <v>0</v>
      </c>
      <c r="X14" s="22"/>
      <c r="Y14" s="22">
        <f t="shared" si="0"/>
        <v>522</v>
      </c>
      <c r="Z14" s="31">
        <f t="shared" si="3"/>
        <v>8036</v>
      </c>
      <c r="AA14" s="20">
        <f t="shared" si="1"/>
        <v>0</v>
      </c>
      <c r="AB14" s="20">
        <v>0</v>
      </c>
    </row>
    <row r="15" spans="1:28" ht="15.75">
      <c r="A15" s="19">
        <v>12</v>
      </c>
      <c r="B15" s="20" t="s">
        <v>51</v>
      </c>
      <c r="C15" s="21" t="s">
        <v>27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2"/>
      <c r="Y15" s="22">
        <f t="shared" si="0"/>
        <v>0</v>
      </c>
      <c r="Z15" s="31">
        <f t="shared" si="3"/>
        <v>0</v>
      </c>
      <c r="AA15" s="20">
        <f t="shared" si="1"/>
        <v>0</v>
      </c>
      <c r="AB15" s="20">
        <v>0</v>
      </c>
    </row>
    <row r="16" spans="1:28" ht="15.75">
      <c r="A16" s="19">
        <v>13</v>
      </c>
      <c r="B16" s="20" t="s">
        <v>51</v>
      </c>
      <c r="C16" s="25" t="s">
        <v>28</v>
      </c>
      <c r="D16" s="20">
        <v>20577</v>
      </c>
      <c r="E16" s="20">
        <v>1146</v>
      </c>
      <c r="F16" s="20">
        <v>20577</v>
      </c>
      <c r="G16" s="20">
        <v>1146</v>
      </c>
      <c r="H16" s="20">
        <v>20577</v>
      </c>
      <c r="I16" s="20">
        <v>1146</v>
      </c>
      <c r="J16" s="20">
        <v>20679</v>
      </c>
      <c r="K16" s="20">
        <v>1152</v>
      </c>
      <c r="L16" s="20">
        <v>20679</v>
      </c>
      <c r="M16" s="20">
        <v>1152</v>
      </c>
      <c r="N16" s="20">
        <v>20679</v>
      </c>
      <c r="O16" s="20">
        <v>1152</v>
      </c>
      <c r="P16" s="20">
        <v>20679</v>
      </c>
      <c r="Q16" s="20">
        <v>1152</v>
      </c>
      <c r="R16" s="20">
        <v>20679</v>
      </c>
      <c r="S16" s="20">
        <v>1152</v>
      </c>
      <c r="T16" s="20">
        <v>20628</v>
      </c>
      <c r="U16" s="20">
        <v>1149</v>
      </c>
      <c r="V16" s="20">
        <v>20628</v>
      </c>
      <c r="W16" s="20">
        <v>1149</v>
      </c>
      <c r="X16" s="22"/>
      <c r="Y16" s="22">
        <f t="shared" si="0"/>
        <v>0</v>
      </c>
      <c r="Z16" s="31">
        <f t="shared" si="3"/>
        <v>20679</v>
      </c>
      <c r="AA16" s="20">
        <f t="shared" si="1"/>
        <v>1152</v>
      </c>
      <c r="AB16" s="20">
        <f>Z16/AA16</f>
        <v>17.950520833333332</v>
      </c>
    </row>
    <row r="17" spans="1:28" ht="15.75">
      <c r="A17" s="19">
        <v>14</v>
      </c>
      <c r="B17" s="20" t="s">
        <v>51</v>
      </c>
      <c r="C17" s="25" t="s">
        <v>29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2"/>
      <c r="Y17" s="22">
        <f t="shared" si="0"/>
        <v>0</v>
      </c>
      <c r="Z17" s="31">
        <f t="shared" si="3"/>
        <v>0</v>
      </c>
      <c r="AA17" s="20">
        <f t="shared" si="1"/>
        <v>0</v>
      </c>
      <c r="AB17" s="20">
        <v>0</v>
      </c>
    </row>
    <row r="18" spans="1:28" ht="15.75">
      <c r="A18" s="19">
        <v>15</v>
      </c>
      <c r="B18" s="20" t="s">
        <v>51</v>
      </c>
      <c r="C18" s="25" t="s">
        <v>30</v>
      </c>
      <c r="D18" s="20">
        <v>0</v>
      </c>
      <c r="E18" s="20">
        <v>0</v>
      </c>
      <c r="F18" s="20">
        <v>0</v>
      </c>
      <c r="G18" s="20">
        <v>0</v>
      </c>
      <c r="H18" s="20">
        <v>42645</v>
      </c>
      <c r="I18" s="20">
        <v>0</v>
      </c>
      <c r="J18" s="20">
        <v>42657</v>
      </c>
      <c r="K18" s="20">
        <v>0</v>
      </c>
      <c r="L18" s="20">
        <v>42657</v>
      </c>
      <c r="M18" s="20">
        <v>0</v>
      </c>
      <c r="N18" s="20">
        <v>42657</v>
      </c>
      <c r="O18" s="20">
        <v>0</v>
      </c>
      <c r="P18" s="20">
        <v>42657</v>
      </c>
      <c r="Q18" s="20">
        <v>0</v>
      </c>
      <c r="R18" s="20">
        <v>42307</v>
      </c>
      <c r="S18" s="20">
        <v>0</v>
      </c>
      <c r="T18" s="20">
        <v>40848</v>
      </c>
      <c r="U18" s="20">
        <v>0</v>
      </c>
      <c r="V18" s="20">
        <v>38268</v>
      </c>
      <c r="W18" s="20">
        <v>0</v>
      </c>
      <c r="X18" s="22"/>
      <c r="Y18" s="22">
        <f t="shared" si="0"/>
        <v>2580</v>
      </c>
      <c r="Z18" s="31">
        <f t="shared" si="3"/>
        <v>40077</v>
      </c>
      <c r="AA18" s="20">
        <f t="shared" si="1"/>
        <v>0</v>
      </c>
      <c r="AB18" s="20">
        <v>0</v>
      </c>
    </row>
    <row r="19" spans="1:28" ht="15.75">
      <c r="A19" s="19">
        <v>16</v>
      </c>
      <c r="B19" s="20" t="s">
        <v>51</v>
      </c>
      <c r="C19" s="25" t="s">
        <v>31</v>
      </c>
      <c r="D19" s="20">
        <v>42645</v>
      </c>
      <c r="E19" s="20">
        <v>0</v>
      </c>
      <c r="F19" s="20">
        <v>42645</v>
      </c>
      <c r="G19" s="20">
        <v>0</v>
      </c>
      <c r="H19" s="20">
        <v>22089</v>
      </c>
      <c r="I19" s="20">
        <v>0</v>
      </c>
      <c r="J19" s="20">
        <v>22706</v>
      </c>
      <c r="K19" s="20">
        <v>0</v>
      </c>
      <c r="L19" s="20">
        <v>22706</v>
      </c>
      <c r="M19" s="20">
        <v>0</v>
      </c>
      <c r="N19" s="20">
        <v>21727</v>
      </c>
      <c r="O19" s="20">
        <v>0</v>
      </c>
      <c r="P19" s="20">
        <v>21727</v>
      </c>
      <c r="Q19" s="20">
        <v>0</v>
      </c>
      <c r="R19" s="20">
        <v>19298</v>
      </c>
      <c r="S19" s="20">
        <v>0</v>
      </c>
      <c r="T19" s="20">
        <v>18898</v>
      </c>
      <c r="U19" s="20">
        <v>0</v>
      </c>
      <c r="V19" s="20">
        <v>18018</v>
      </c>
      <c r="W19" s="20">
        <v>0</v>
      </c>
      <c r="X19" s="22"/>
      <c r="Y19" s="22">
        <f t="shared" si="0"/>
        <v>880</v>
      </c>
      <c r="Z19" s="31">
        <f t="shared" si="3"/>
        <v>20847</v>
      </c>
      <c r="AA19" s="20">
        <f t="shared" si="1"/>
        <v>0</v>
      </c>
      <c r="AB19" s="20">
        <v>0</v>
      </c>
    </row>
    <row r="20" spans="1:28" ht="15.75">
      <c r="A20" s="19">
        <v>17</v>
      </c>
      <c r="B20" s="20" t="s">
        <v>51</v>
      </c>
      <c r="C20" s="25" t="s">
        <v>32</v>
      </c>
      <c r="D20" s="20">
        <v>21459</v>
      </c>
      <c r="E20" s="20">
        <v>0</v>
      </c>
      <c r="F20" s="20">
        <v>21459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2"/>
      <c r="Y20" s="22">
        <f t="shared" si="0"/>
        <v>0</v>
      </c>
      <c r="Z20" s="31">
        <f t="shared" si="3"/>
        <v>0</v>
      </c>
      <c r="AA20" s="20">
        <f t="shared" si="1"/>
        <v>0</v>
      </c>
      <c r="AB20" s="20">
        <v>0</v>
      </c>
    </row>
    <row r="21" spans="1:28" ht="15.75">
      <c r="A21" s="19">
        <v>18</v>
      </c>
      <c r="B21" s="20" t="s">
        <v>51</v>
      </c>
      <c r="C21" s="25" t="s">
        <v>33</v>
      </c>
      <c r="D21" s="20">
        <v>11900</v>
      </c>
      <c r="E21" s="20">
        <v>0</v>
      </c>
      <c r="F21" s="20">
        <v>11900</v>
      </c>
      <c r="G21" s="20">
        <v>0</v>
      </c>
      <c r="H21" s="20">
        <v>12468</v>
      </c>
      <c r="I21" s="20">
        <v>0</v>
      </c>
      <c r="J21" s="20">
        <v>12878</v>
      </c>
      <c r="K21" s="20">
        <v>0</v>
      </c>
      <c r="L21" s="20">
        <v>12878</v>
      </c>
      <c r="M21" s="20">
        <v>0</v>
      </c>
      <c r="N21" s="20">
        <v>12878</v>
      </c>
      <c r="O21" s="20">
        <v>0</v>
      </c>
      <c r="P21" s="20">
        <v>12878</v>
      </c>
      <c r="Q21" s="20">
        <v>0</v>
      </c>
      <c r="R21" s="20">
        <v>12558</v>
      </c>
      <c r="S21" s="20">
        <v>0</v>
      </c>
      <c r="T21" s="20">
        <v>12358</v>
      </c>
      <c r="U21" s="20">
        <v>0</v>
      </c>
      <c r="V21" s="20">
        <v>12358</v>
      </c>
      <c r="W21" s="20">
        <v>0</v>
      </c>
      <c r="X21" s="22"/>
      <c r="Y21" s="22">
        <f t="shared" si="0"/>
        <v>0</v>
      </c>
      <c r="Z21" s="31">
        <f t="shared" si="3"/>
        <v>12878</v>
      </c>
      <c r="AA21" s="20">
        <f t="shared" si="1"/>
        <v>0</v>
      </c>
      <c r="AB21" s="20">
        <v>0</v>
      </c>
    </row>
    <row r="22" spans="1:28" ht="15.75">
      <c r="A22" s="19">
        <v>19</v>
      </c>
      <c r="B22" s="20" t="s">
        <v>51</v>
      </c>
      <c r="C22" s="25" t="s">
        <v>154</v>
      </c>
      <c r="D22" s="20">
        <v>0</v>
      </c>
      <c r="E22" s="20">
        <v>0</v>
      </c>
      <c r="F22" s="20">
        <v>0</v>
      </c>
      <c r="G22" s="20">
        <v>0</v>
      </c>
      <c r="H22" s="20">
        <v>470</v>
      </c>
      <c r="I22" s="20">
        <v>0</v>
      </c>
      <c r="J22" s="20">
        <v>470</v>
      </c>
      <c r="K22" s="20">
        <v>0</v>
      </c>
      <c r="L22" s="20">
        <v>470</v>
      </c>
      <c r="M22" s="20">
        <v>0</v>
      </c>
      <c r="N22" s="20">
        <v>470</v>
      </c>
      <c r="O22" s="20">
        <v>0</v>
      </c>
      <c r="P22" s="20">
        <v>470</v>
      </c>
      <c r="Q22" s="20">
        <v>0</v>
      </c>
      <c r="R22" s="20">
        <v>470</v>
      </c>
      <c r="S22" s="20">
        <v>0</v>
      </c>
      <c r="T22" s="20">
        <v>470</v>
      </c>
      <c r="U22" s="20">
        <v>0</v>
      </c>
      <c r="V22" s="20">
        <v>470</v>
      </c>
      <c r="W22" s="20">
        <v>0</v>
      </c>
      <c r="X22" s="22"/>
      <c r="Y22" s="22">
        <f t="shared" si="0"/>
        <v>0</v>
      </c>
      <c r="Z22" s="31">
        <f t="shared" si="3"/>
        <v>470</v>
      </c>
      <c r="AA22" s="20">
        <f t="shared" si="1"/>
        <v>0</v>
      </c>
      <c r="AB22" s="20">
        <v>0</v>
      </c>
    </row>
    <row r="23" spans="1:28" ht="15.75">
      <c r="A23" s="19">
        <v>20</v>
      </c>
      <c r="B23" s="20" t="s">
        <v>51</v>
      </c>
      <c r="C23" s="25" t="s">
        <v>35</v>
      </c>
      <c r="D23" s="20">
        <v>470</v>
      </c>
      <c r="E23" s="20">
        <v>0</v>
      </c>
      <c r="F23" s="20">
        <v>470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2"/>
      <c r="Y23" s="22">
        <f t="shared" si="0"/>
        <v>0</v>
      </c>
      <c r="Z23" s="31">
        <f t="shared" si="3"/>
        <v>0</v>
      </c>
      <c r="AA23" s="20">
        <f t="shared" si="1"/>
        <v>0</v>
      </c>
      <c r="AB23" s="20">
        <v>0</v>
      </c>
    </row>
    <row r="24" spans="1:28" ht="15.75">
      <c r="A24" s="19">
        <v>21</v>
      </c>
      <c r="B24" s="20" t="s">
        <v>51</v>
      </c>
      <c r="C24" s="25" t="s">
        <v>36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2"/>
      <c r="Y24" s="22">
        <f t="shared" si="0"/>
        <v>0</v>
      </c>
      <c r="Z24" s="31">
        <f t="shared" si="3"/>
        <v>0</v>
      </c>
      <c r="AA24" s="20">
        <f t="shared" si="1"/>
        <v>0</v>
      </c>
      <c r="AB24" s="20">
        <v>0</v>
      </c>
    </row>
    <row r="25" spans="1:28" ht="15.75">
      <c r="A25" s="19">
        <v>22</v>
      </c>
      <c r="B25" s="20" t="s">
        <v>51</v>
      </c>
      <c r="C25" s="25" t="s">
        <v>37</v>
      </c>
      <c r="D25" s="20">
        <v>2622</v>
      </c>
      <c r="E25" s="20">
        <v>0</v>
      </c>
      <c r="F25" s="20">
        <v>2622</v>
      </c>
      <c r="G25" s="20">
        <v>0</v>
      </c>
      <c r="H25" s="20">
        <v>2622</v>
      </c>
      <c r="I25" s="20">
        <v>0</v>
      </c>
      <c r="J25" s="20">
        <v>2622</v>
      </c>
      <c r="K25" s="20">
        <v>0</v>
      </c>
      <c r="L25" s="20">
        <v>2622</v>
      </c>
      <c r="M25" s="20">
        <v>0</v>
      </c>
      <c r="N25" s="20">
        <v>2622</v>
      </c>
      <c r="O25" s="20">
        <v>0</v>
      </c>
      <c r="P25" s="20">
        <v>2622</v>
      </c>
      <c r="Q25" s="20">
        <v>0</v>
      </c>
      <c r="R25" s="20">
        <v>2622</v>
      </c>
      <c r="S25" s="20">
        <v>0</v>
      </c>
      <c r="T25" s="20">
        <v>2622</v>
      </c>
      <c r="U25" s="20">
        <v>0</v>
      </c>
      <c r="V25" s="20">
        <v>2602</v>
      </c>
      <c r="W25" s="20">
        <v>0</v>
      </c>
      <c r="X25" s="22"/>
      <c r="Y25" s="22">
        <f t="shared" si="0"/>
        <v>20</v>
      </c>
      <c r="Z25" s="31">
        <f t="shared" si="3"/>
        <v>2602</v>
      </c>
      <c r="AA25" s="20">
        <f t="shared" si="1"/>
        <v>0</v>
      </c>
      <c r="AB25" s="20">
        <v>0</v>
      </c>
    </row>
    <row r="26" spans="1:28" ht="15.75">
      <c r="A26" s="19">
        <v>23</v>
      </c>
      <c r="B26" s="20" t="s">
        <v>51</v>
      </c>
      <c r="C26" s="21" t="s">
        <v>38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2"/>
      <c r="Y26" s="22">
        <f t="shared" si="0"/>
        <v>0</v>
      </c>
      <c r="Z26" s="31">
        <f t="shared" si="3"/>
        <v>0</v>
      </c>
      <c r="AA26" s="20">
        <f t="shared" si="1"/>
        <v>0</v>
      </c>
      <c r="AB26" s="20">
        <v>0</v>
      </c>
    </row>
    <row r="27" spans="1:28" ht="15.75">
      <c r="A27" s="19">
        <v>24</v>
      </c>
      <c r="B27" s="20" t="s">
        <v>51</v>
      </c>
      <c r="C27" s="21" t="s">
        <v>39</v>
      </c>
      <c r="D27" s="20">
        <f>E27*1.4</f>
        <v>315</v>
      </c>
      <c r="E27" s="20">
        <v>225</v>
      </c>
      <c r="F27" s="20">
        <f>G27*1.4</f>
        <v>315</v>
      </c>
      <c r="G27" s="20">
        <v>225</v>
      </c>
      <c r="H27" s="20">
        <v>303.75</v>
      </c>
      <c r="I27" s="20">
        <v>225</v>
      </c>
      <c r="J27" s="20">
        <v>303.75</v>
      </c>
      <c r="K27" s="20">
        <v>225</v>
      </c>
      <c r="L27" s="20">
        <v>303.75</v>
      </c>
      <c r="M27" s="20">
        <v>225</v>
      </c>
      <c r="N27" s="20">
        <v>303.75</v>
      </c>
      <c r="O27" s="20">
        <v>225</v>
      </c>
      <c r="P27" s="20">
        <v>303.75</v>
      </c>
      <c r="Q27" s="20">
        <v>225</v>
      </c>
      <c r="R27" s="20">
        <v>303.75</v>
      </c>
      <c r="S27" s="20">
        <v>225</v>
      </c>
      <c r="T27" s="20">
        <v>297</v>
      </c>
      <c r="U27" s="20">
        <v>225</v>
      </c>
      <c r="V27" s="20">
        <v>297</v>
      </c>
      <c r="W27" s="20">
        <v>225</v>
      </c>
      <c r="X27" s="22"/>
      <c r="Y27" s="22">
        <f t="shared" si="0"/>
        <v>0</v>
      </c>
      <c r="Z27" s="31">
        <f t="shared" si="3"/>
        <v>303.75</v>
      </c>
      <c r="AA27" s="20">
        <f t="shared" si="1"/>
        <v>225</v>
      </c>
      <c r="AB27" s="20">
        <v>0</v>
      </c>
    </row>
    <row r="28" spans="1:28" ht="15.75">
      <c r="A28" s="19">
        <v>25</v>
      </c>
      <c r="B28" s="20" t="s">
        <v>51</v>
      </c>
      <c r="C28" s="21" t="s">
        <v>40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2"/>
      <c r="Y28" s="22">
        <f t="shared" si="0"/>
        <v>0</v>
      </c>
      <c r="Z28" s="31">
        <f t="shared" si="3"/>
        <v>0</v>
      </c>
      <c r="AA28" s="20">
        <f t="shared" si="1"/>
        <v>0</v>
      </c>
      <c r="AB28" s="20">
        <v>0</v>
      </c>
    </row>
    <row r="29" spans="1:28" ht="15.75">
      <c r="A29" s="19">
        <v>26</v>
      </c>
      <c r="B29" s="20" t="s">
        <v>51</v>
      </c>
      <c r="C29" s="21" t="s">
        <v>41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2"/>
      <c r="Y29" s="22">
        <f t="shared" si="0"/>
        <v>0</v>
      </c>
      <c r="Z29" s="31">
        <f t="shared" si="3"/>
        <v>0</v>
      </c>
      <c r="AA29" s="20">
        <f t="shared" si="1"/>
        <v>0</v>
      </c>
      <c r="AB29" s="20">
        <v>0</v>
      </c>
    </row>
    <row r="30" spans="1:28" ht="15.75">
      <c r="A30" s="19">
        <v>27</v>
      </c>
      <c r="B30" s="20" t="s">
        <v>51</v>
      </c>
      <c r="C30" s="21" t="s">
        <v>42</v>
      </c>
      <c r="D30" s="20">
        <f>E30*0.6</f>
        <v>1767.6</v>
      </c>
      <c r="E30" s="20">
        <v>2946</v>
      </c>
      <c r="F30" s="20">
        <f>G30*0.6</f>
        <v>1767.6</v>
      </c>
      <c r="G30" s="20">
        <v>2946</v>
      </c>
      <c r="H30" s="20">
        <v>2168</v>
      </c>
      <c r="I30" s="20">
        <v>3336</v>
      </c>
      <c r="J30" s="20">
        <v>2168.4</v>
      </c>
      <c r="K30" s="20">
        <v>3336</v>
      </c>
      <c r="L30" s="20">
        <v>2168.4</v>
      </c>
      <c r="M30" s="20">
        <v>3336</v>
      </c>
      <c r="N30" s="20">
        <v>2168.4</v>
      </c>
      <c r="O30" s="20">
        <v>3336</v>
      </c>
      <c r="P30" s="20">
        <v>2168.4</v>
      </c>
      <c r="Q30" s="20">
        <v>3336</v>
      </c>
      <c r="R30" s="20">
        <v>2139.15</v>
      </c>
      <c r="S30" s="20">
        <v>3291</v>
      </c>
      <c r="T30" s="20">
        <v>1973</v>
      </c>
      <c r="U30" s="20">
        <v>3036</v>
      </c>
      <c r="V30" s="20">
        <v>1749.15</v>
      </c>
      <c r="W30" s="20">
        <v>2691</v>
      </c>
      <c r="X30" s="22"/>
      <c r="Y30" s="22">
        <f t="shared" si="0"/>
        <v>223.84999999999991</v>
      </c>
      <c r="Z30" s="31">
        <f t="shared" si="3"/>
        <v>1944.5500000000002</v>
      </c>
      <c r="AA30" s="20">
        <f t="shared" si="1"/>
        <v>3336</v>
      </c>
      <c r="AB30" s="20">
        <v>0</v>
      </c>
    </row>
    <row r="31" spans="1:28" ht="15.75">
      <c r="A31" s="19">
        <v>31</v>
      </c>
      <c r="B31" s="20" t="s">
        <v>51</v>
      </c>
      <c r="C31" s="21" t="s">
        <v>43</v>
      </c>
      <c r="D31" s="20">
        <v>0</v>
      </c>
      <c r="E31" s="20">
        <v>1907</v>
      </c>
      <c r="F31" s="20">
        <v>0</v>
      </c>
      <c r="G31" s="20">
        <v>1907</v>
      </c>
      <c r="H31" s="20">
        <v>0</v>
      </c>
      <c r="I31" s="20">
        <v>1907</v>
      </c>
      <c r="J31" s="20">
        <v>0</v>
      </c>
      <c r="K31" s="20">
        <v>1907</v>
      </c>
      <c r="L31" s="20">
        <v>0</v>
      </c>
      <c r="M31" s="20">
        <v>1907</v>
      </c>
      <c r="N31" s="20">
        <v>0</v>
      </c>
      <c r="O31" s="20">
        <v>1907</v>
      </c>
      <c r="P31" s="20">
        <v>0</v>
      </c>
      <c r="Q31" s="20">
        <v>1907</v>
      </c>
      <c r="R31" s="20">
        <v>0</v>
      </c>
      <c r="S31" s="20">
        <v>1907</v>
      </c>
      <c r="T31" s="20">
        <v>0</v>
      </c>
      <c r="U31" s="20">
        <v>1907</v>
      </c>
      <c r="V31" s="20"/>
      <c r="W31" s="20">
        <v>1907</v>
      </c>
      <c r="X31" s="22"/>
      <c r="Y31" s="22">
        <f t="shared" si="0"/>
        <v>0</v>
      </c>
      <c r="Z31" s="31">
        <f t="shared" si="3"/>
        <v>0</v>
      </c>
      <c r="AA31" s="20">
        <f t="shared" si="1"/>
        <v>1907</v>
      </c>
      <c r="AB31" s="20">
        <v>0</v>
      </c>
    </row>
    <row r="32" spans="1:28" ht="15.75">
      <c r="A32" s="20"/>
      <c r="B32" s="20"/>
      <c r="C32" s="20"/>
      <c r="D32" s="30">
        <f t="shared" ref="D32:I32" si="4">SUM(D4:D31)</f>
        <v>279127</v>
      </c>
      <c r="E32" s="30">
        <f t="shared" si="4"/>
        <v>16817</v>
      </c>
      <c r="F32" s="20">
        <f t="shared" si="4"/>
        <v>279127</v>
      </c>
      <c r="G32" s="20">
        <f t="shared" si="4"/>
        <v>16817</v>
      </c>
      <c r="H32" s="20">
        <f t="shared" si="4"/>
        <v>282315.15000000002</v>
      </c>
      <c r="I32" s="20">
        <f t="shared" si="4"/>
        <v>17307</v>
      </c>
      <c r="J32" s="20">
        <f t="shared" ref="J32:O32" si="5">SUM(J4:J31)</f>
        <v>285799.15000000002</v>
      </c>
      <c r="K32" s="20">
        <f t="shared" si="5"/>
        <v>17393</v>
      </c>
      <c r="L32" s="20">
        <f t="shared" si="5"/>
        <v>285799.55000000005</v>
      </c>
      <c r="M32" s="20">
        <f t="shared" si="5"/>
        <v>17393</v>
      </c>
      <c r="N32" s="99">
        <f t="shared" si="5"/>
        <v>283449.55000000005</v>
      </c>
      <c r="O32" s="20">
        <f t="shared" si="5"/>
        <v>17319</v>
      </c>
      <c r="P32" s="20">
        <f>P4+P5+P6+P8+P9+P10+P11+P12+P13+P14+P16+P18+P19+P21+P22+P25+P27+P30</f>
        <v>283517.55000000005</v>
      </c>
      <c r="Q32" s="20"/>
      <c r="R32" s="20">
        <f>SUM(R4:R31)</f>
        <v>279023.30000000005</v>
      </c>
      <c r="S32" s="20">
        <f>SUM(S4:S31)</f>
        <v>17229</v>
      </c>
      <c r="T32" s="20">
        <f>SUM(T4:T31)</f>
        <v>274746.40000000002</v>
      </c>
      <c r="U32" s="20">
        <f>SUM(U5:U31)</f>
        <v>16514</v>
      </c>
      <c r="V32" s="20">
        <f>SUM(V4:V31)</f>
        <v>252911.55</v>
      </c>
      <c r="W32" s="20"/>
      <c r="X32" s="22"/>
      <c r="Y32" s="22"/>
      <c r="Z32" s="34" t="e">
        <f>SUM(Z4:Z31)</f>
        <v>#NAME?</v>
      </c>
      <c r="AA32" s="32">
        <f>SUM(AA5:AA31)</f>
        <v>17319</v>
      </c>
      <c r="AB32" s="28"/>
    </row>
    <row r="33" spans="1:29">
      <c r="A33" s="28"/>
      <c r="B33" s="28"/>
      <c r="C33" s="28"/>
      <c r="D33" s="19"/>
      <c r="E33" s="28"/>
      <c r="F33" s="19" t="s">
        <v>127</v>
      </c>
      <c r="G33" s="19" t="s">
        <v>127</v>
      </c>
      <c r="H33" s="19"/>
      <c r="I33" s="19"/>
      <c r="J33" s="19"/>
      <c r="K33" s="19"/>
      <c r="L33" s="19"/>
      <c r="M33" s="19"/>
      <c r="N33" s="19"/>
      <c r="O33" s="19"/>
      <c r="P33" s="19">
        <v>279023.3</v>
      </c>
      <c r="Q33" s="19"/>
      <c r="R33" s="19"/>
      <c r="S33" s="19"/>
      <c r="T33" s="19">
        <f>R32-T32</f>
        <v>4276.9000000000233</v>
      </c>
      <c r="U33" s="19"/>
      <c r="V33" s="19"/>
      <c r="W33" s="19"/>
      <c r="X33" s="20" t="s">
        <v>44</v>
      </c>
      <c r="Y33" s="20"/>
      <c r="Z33" s="30"/>
      <c r="AA33" s="28"/>
      <c r="AB33" s="28"/>
      <c r="AC33" s="49"/>
    </row>
    <row r="34" spans="1:29">
      <c r="P34" s="45">
        <f>P32-P33</f>
        <v>4494.2500000000582</v>
      </c>
      <c r="T34" s="45" t="s">
        <v>127</v>
      </c>
      <c r="Z34" s="36"/>
    </row>
    <row r="35" spans="1:29">
      <c r="P35" s="35">
        <v>4390</v>
      </c>
    </row>
    <row r="36" spans="1:29">
      <c r="P36" s="45">
        <f>P34-P35</f>
        <v>104.25000000005821</v>
      </c>
    </row>
  </sheetData>
  <mergeCells count="11">
    <mergeCell ref="A1:AB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31" right="0.36" top="0.45" bottom="0.75" header="0.3" footer="0.3"/>
  <pageSetup paperSize="9" scale="86" orientation="landscape" r:id="rId1"/>
  <ignoredErrors>
    <ignoredError sqref="AB7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33"/>
  <sheetViews>
    <sheetView zoomScaleNormal="100" workbookViewId="0">
      <selection activeCell="V4" sqref="V4:V31"/>
    </sheetView>
  </sheetViews>
  <sheetFormatPr defaultColWidth="9" defaultRowHeight="15"/>
  <cols>
    <col min="2" max="2" width="14.140625" customWidth="1"/>
    <col min="3" max="3" width="26" customWidth="1"/>
    <col min="4" max="4" width="13.42578125" hidden="1" customWidth="1"/>
    <col min="5" max="5" width="12.7109375" hidden="1" customWidth="1"/>
    <col min="6" max="6" width="13.42578125" hidden="1" customWidth="1"/>
    <col min="7" max="7" width="12.7109375" hidden="1" customWidth="1"/>
    <col min="8" max="8" width="13.42578125" hidden="1" customWidth="1"/>
    <col min="9" max="19" width="12.7109375" hidden="1" customWidth="1"/>
    <col min="20" max="23" width="12.7109375" customWidth="1"/>
    <col min="24" max="24" width="13.28515625" bestFit="1" customWidth="1"/>
    <col min="25" max="25" width="12.7109375" bestFit="1" customWidth="1"/>
    <col min="26" max="26" width="16.28515625" bestFit="1" customWidth="1"/>
    <col min="28" max="28" width="10.28515625" bestFit="1" customWidth="1"/>
    <col min="32" max="32" width="10.85546875" customWidth="1"/>
  </cols>
  <sheetData>
    <row r="1" spans="1:28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8" ht="42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289" t="s">
        <v>164</v>
      </c>
      <c r="M2" s="290"/>
      <c r="N2" s="289" t="s">
        <v>171</v>
      </c>
      <c r="O2" s="290"/>
      <c r="P2" s="289" t="s">
        <v>232</v>
      </c>
      <c r="Q2" s="290"/>
      <c r="R2" s="289" t="s">
        <v>240</v>
      </c>
      <c r="S2" s="290"/>
      <c r="T2" s="289" t="s">
        <v>243</v>
      </c>
      <c r="U2" s="290"/>
      <c r="V2" s="289" t="s">
        <v>247</v>
      </c>
      <c r="W2" s="290"/>
      <c r="X2" s="162" t="s">
        <v>150</v>
      </c>
      <c r="Y2" s="162" t="s">
        <v>150</v>
      </c>
      <c r="Z2" s="108" t="s">
        <v>153</v>
      </c>
      <c r="AA2" s="108"/>
      <c r="AB2" s="108"/>
    </row>
    <row r="3" spans="1:28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7" t="s">
        <v>4</v>
      </c>
      <c r="U3" s="17" t="s">
        <v>109</v>
      </c>
      <c r="V3" s="17" t="s">
        <v>4</v>
      </c>
      <c r="W3" s="17" t="s">
        <v>109</v>
      </c>
      <c r="X3" s="18" t="s">
        <v>125</v>
      </c>
      <c r="Y3" s="18" t="s">
        <v>8</v>
      </c>
      <c r="Z3" s="17"/>
      <c r="AA3" s="17" t="s">
        <v>11</v>
      </c>
      <c r="AB3" s="20" t="s">
        <v>12</v>
      </c>
    </row>
    <row r="4" spans="1:28" ht="15.75">
      <c r="A4" s="19">
        <v>1</v>
      </c>
      <c r="B4" s="20" t="s">
        <v>53</v>
      </c>
      <c r="C4" s="21" t="s">
        <v>14</v>
      </c>
      <c r="D4" s="20">
        <v>19151</v>
      </c>
      <c r="E4" s="20">
        <v>0</v>
      </c>
      <c r="F4" s="20">
        <v>20251</v>
      </c>
      <c r="G4" s="20">
        <v>0</v>
      </c>
      <c r="H4" s="20">
        <v>21431</v>
      </c>
      <c r="I4" s="20">
        <v>0</v>
      </c>
      <c r="J4" s="20">
        <v>19331</v>
      </c>
      <c r="K4" s="20">
        <v>0</v>
      </c>
      <c r="L4" s="20">
        <v>19331</v>
      </c>
      <c r="M4" s="20">
        <v>0</v>
      </c>
      <c r="N4" s="20">
        <v>21970</v>
      </c>
      <c r="O4" s="20">
        <v>0</v>
      </c>
      <c r="P4" s="20">
        <v>21970</v>
      </c>
      <c r="Q4" s="20">
        <v>0</v>
      </c>
      <c r="R4" s="20">
        <v>21970</v>
      </c>
      <c r="S4" s="20">
        <v>0</v>
      </c>
      <c r="T4" s="20">
        <v>21970</v>
      </c>
      <c r="U4" s="20">
        <v>0</v>
      </c>
      <c r="V4" s="20">
        <v>22105</v>
      </c>
      <c r="W4" s="20"/>
      <c r="X4" s="18" t="s">
        <v>127</v>
      </c>
      <c r="Y4" s="285" t="s">
        <v>127</v>
      </c>
      <c r="Z4" s="17"/>
      <c r="AA4" s="20">
        <f>O4</f>
        <v>0</v>
      </c>
      <c r="AB4" s="28"/>
    </row>
    <row r="5" spans="1:28" ht="15.75">
      <c r="A5" s="19">
        <v>2</v>
      </c>
      <c r="B5" s="20" t="s">
        <v>53</v>
      </c>
      <c r="C5" s="21" t="s">
        <v>15</v>
      </c>
      <c r="D5" s="20">
        <v>9171</v>
      </c>
      <c r="E5" s="20">
        <v>550</v>
      </c>
      <c r="F5" s="19">
        <v>9171</v>
      </c>
      <c r="G5" s="19">
        <v>550</v>
      </c>
      <c r="H5" s="20">
        <v>16866</v>
      </c>
      <c r="I5" s="20">
        <v>955</v>
      </c>
      <c r="J5" s="20">
        <v>14915</v>
      </c>
      <c r="K5" s="20">
        <v>785</v>
      </c>
      <c r="L5" s="20">
        <v>14915</v>
      </c>
      <c r="M5" s="20">
        <v>785</v>
      </c>
      <c r="N5" s="20">
        <v>13970</v>
      </c>
      <c r="O5" s="20">
        <v>735</v>
      </c>
      <c r="P5" s="20">
        <v>14050</v>
      </c>
      <c r="Q5" s="20">
        <v>735</v>
      </c>
      <c r="R5" s="20">
        <v>14050</v>
      </c>
      <c r="S5" s="20">
        <v>735</v>
      </c>
      <c r="T5" s="20">
        <v>14050</v>
      </c>
      <c r="U5" s="20">
        <v>735</v>
      </c>
      <c r="V5" s="20">
        <v>13088</v>
      </c>
      <c r="W5" s="20">
        <v>684</v>
      </c>
      <c r="X5" s="18">
        <v>0</v>
      </c>
      <c r="Y5" s="23"/>
      <c r="Z5" s="17" t="s">
        <v>233</v>
      </c>
      <c r="AA5" s="20">
        <f t="shared" ref="AA5:AA31" si="0">O5</f>
        <v>735</v>
      </c>
      <c r="AB5" s="20" t="e">
        <f t="shared" ref="AB5:AB12" si="1">Z5/AA5</f>
        <v>#VALUE!</v>
      </c>
    </row>
    <row r="6" spans="1:28" ht="15.75">
      <c r="A6" s="19">
        <v>3</v>
      </c>
      <c r="B6" s="20" t="s">
        <v>53</v>
      </c>
      <c r="C6" s="21" t="s">
        <v>16</v>
      </c>
      <c r="D6" s="20">
        <v>5698</v>
      </c>
      <c r="E6" s="20">
        <v>154</v>
      </c>
      <c r="F6" s="19">
        <v>8917</v>
      </c>
      <c r="G6" s="19">
        <v>241</v>
      </c>
      <c r="H6" s="20">
        <v>9953</v>
      </c>
      <c r="I6" s="20">
        <v>269</v>
      </c>
      <c r="J6" s="20">
        <v>9324</v>
      </c>
      <c r="K6" s="20">
        <v>252</v>
      </c>
      <c r="L6" s="20">
        <v>9324</v>
      </c>
      <c r="M6" s="20">
        <v>252</v>
      </c>
      <c r="N6" s="20">
        <v>9250</v>
      </c>
      <c r="O6" s="20">
        <v>250</v>
      </c>
      <c r="P6" s="20">
        <v>9435</v>
      </c>
      <c r="Q6" s="20">
        <v>255</v>
      </c>
      <c r="R6" s="20">
        <v>9435</v>
      </c>
      <c r="S6" s="20">
        <v>255</v>
      </c>
      <c r="T6" s="20">
        <v>9435</v>
      </c>
      <c r="U6" s="20">
        <v>255</v>
      </c>
      <c r="V6" s="20">
        <v>9435</v>
      </c>
      <c r="W6" s="20">
        <v>255</v>
      </c>
      <c r="X6" s="18">
        <v>0</v>
      </c>
      <c r="Y6" s="23"/>
      <c r="Z6" s="17" t="s">
        <v>233</v>
      </c>
      <c r="AA6" s="20">
        <f t="shared" si="0"/>
        <v>250</v>
      </c>
      <c r="AB6" s="20" t="e">
        <f t="shared" si="1"/>
        <v>#VALUE!</v>
      </c>
    </row>
    <row r="7" spans="1:28" ht="15.75">
      <c r="A7" s="19">
        <v>4</v>
      </c>
      <c r="B7" s="20" t="s">
        <v>53</v>
      </c>
      <c r="C7" s="21" t="s">
        <v>17</v>
      </c>
      <c r="D7" s="20">
        <v>255</v>
      </c>
      <c r="E7" s="20">
        <v>15</v>
      </c>
      <c r="F7" s="19">
        <v>255</v>
      </c>
      <c r="G7" s="19">
        <v>15</v>
      </c>
      <c r="H7" s="20">
        <v>255</v>
      </c>
      <c r="I7" s="20">
        <v>15</v>
      </c>
      <c r="J7" s="20">
        <v>255</v>
      </c>
      <c r="K7" s="20">
        <v>15</v>
      </c>
      <c r="L7" s="20">
        <v>255</v>
      </c>
      <c r="M7" s="20">
        <v>15</v>
      </c>
      <c r="N7" s="20">
        <v>119</v>
      </c>
      <c r="O7" s="20">
        <v>7</v>
      </c>
      <c r="P7" s="20">
        <v>119</v>
      </c>
      <c r="Q7" s="20">
        <v>7</v>
      </c>
      <c r="R7" s="20">
        <v>119</v>
      </c>
      <c r="S7" s="20">
        <v>7</v>
      </c>
      <c r="T7" s="20">
        <v>119</v>
      </c>
      <c r="U7" s="20">
        <v>7</v>
      </c>
      <c r="V7" s="20">
        <v>119</v>
      </c>
      <c r="W7" s="20">
        <v>7</v>
      </c>
      <c r="X7" s="18">
        <v>0</v>
      </c>
      <c r="Y7" s="23"/>
      <c r="Z7" s="17"/>
      <c r="AA7" s="20">
        <f t="shared" si="0"/>
        <v>7</v>
      </c>
      <c r="AB7" s="20">
        <f t="shared" si="1"/>
        <v>0</v>
      </c>
    </row>
    <row r="8" spans="1:28" ht="15.75">
      <c r="A8" s="19">
        <v>5</v>
      </c>
      <c r="B8" s="20" t="s">
        <v>53</v>
      </c>
      <c r="C8" s="21" t="s">
        <v>18</v>
      </c>
      <c r="D8" s="20">
        <v>1675</v>
      </c>
      <c r="E8" s="20">
        <v>335</v>
      </c>
      <c r="F8" s="19">
        <v>3045</v>
      </c>
      <c r="G8" s="19">
        <v>609</v>
      </c>
      <c r="H8" s="20">
        <v>3275</v>
      </c>
      <c r="I8" s="20">
        <v>655</v>
      </c>
      <c r="J8" s="20">
        <v>3045</v>
      </c>
      <c r="K8" s="20">
        <v>609</v>
      </c>
      <c r="L8" s="20">
        <v>3045</v>
      </c>
      <c r="M8" s="20">
        <v>609</v>
      </c>
      <c r="N8" s="20">
        <v>3240</v>
      </c>
      <c r="O8" s="20">
        <v>648</v>
      </c>
      <c r="P8" s="20">
        <v>3280</v>
      </c>
      <c r="Q8" s="20">
        <v>656</v>
      </c>
      <c r="R8" s="20">
        <v>3280</v>
      </c>
      <c r="S8" s="20">
        <v>656</v>
      </c>
      <c r="T8" s="20">
        <v>3280</v>
      </c>
      <c r="U8" s="20">
        <v>656</v>
      </c>
      <c r="V8" s="20">
        <v>3280</v>
      </c>
      <c r="W8" s="20">
        <v>656</v>
      </c>
      <c r="X8" s="18">
        <v>0</v>
      </c>
      <c r="Y8" s="23"/>
      <c r="Z8" s="17" t="s">
        <v>233</v>
      </c>
      <c r="AA8" s="20">
        <f t="shared" si="0"/>
        <v>648</v>
      </c>
      <c r="AB8" s="20" t="e">
        <f t="shared" si="1"/>
        <v>#VALUE!</v>
      </c>
    </row>
    <row r="9" spans="1:28" ht="15.75">
      <c r="A9" s="19">
        <v>6</v>
      </c>
      <c r="B9" s="20" t="s">
        <v>53</v>
      </c>
      <c r="C9" s="21" t="s">
        <v>19</v>
      </c>
      <c r="D9" s="20">
        <v>334.8</v>
      </c>
      <c r="E9" s="20">
        <v>558</v>
      </c>
      <c r="F9" s="19">
        <v>670.8</v>
      </c>
      <c r="G9" s="19">
        <v>1118</v>
      </c>
      <c r="H9" s="20">
        <v>727.8</v>
      </c>
      <c r="I9" s="20">
        <v>1213</v>
      </c>
      <c r="J9" s="20">
        <v>718.8</v>
      </c>
      <c r="K9" s="20">
        <v>1198</v>
      </c>
      <c r="L9" s="20">
        <v>718.8</v>
      </c>
      <c r="M9" s="20">
        <v>1198</v>
      </c>
      <c r="N9" s="20">
        <v>710.4</v>
      </c>
      <c r="O9" s="20">
        <v>1184</v>
      </c>
      <c r="P9" s="20">
        <v>710.4</v>
      </c>
      <c r="Q9" s="20">
        <v>1184</v>
      </c>
      <c r="R9" s="20">
        <v>710.4</v>
      </c>
      <c r="S9" s="20">
        <v>1184</v>
      </c>
      <c r="T9" s="20">
        <v>710.4</v>
      </c>
      <c r="U9" s="20">
        <v>1184</v>
      </c>
      <c r="V9" s="20">
        <v>710.4</v>
      </c>
      <c r="W9" s="20">
        <v>1184</v>
      </c>
      <c r="X9" s="18">
        <v>0</v>
      </c>
      <c r="Y9" s="23"/>
      <c r="Z9" s="17"/>
      <c r="AA9" s="20">
        <f t="shared" si="0"/>
        <v>1184</v>
      </c>
      <c r="AB9" s="20">
        <f t="shared" si="1"/>
        <v>0</v>
      </c>
    </row>
    <row r="10" spans="1:28" ht="15.75">
      <c r="A10" s="19">
        <v>7</v>
      </c>
      <c r="B10" s="20" t="s">
        <v>53</v>
      </c>
      <c r="C10" s="24" t="s">
        <v>20</v>
      </c>
      <c r="D10" s="20">
        <v>1400</v>
      </c>
      <c r="E10" s="20">
        <v>280</v>
      </c>
      <c r="F10" s="19">
        <v>1400</v>
      </c>
      <c r="G10" s="19">
        <v>280</v>
      </c>
      <c r="H10" s="20">
        <v>1400</v>
      </c>
      <c r="I10" s="20">
        <v>280</v>
      </c>
      <c r="J10" s="20">
        <v>910</v>
      </c>
      <c r="K10" s="20">
        <v>182</v>
      </c>
      <c r="L10" s="20">
        <v>910</v>
      </c>
      <c r="M10" s="20">
        <v>182</v>
      </c>
      <c r="N10" s="20">
        <v>735</v>
      </c>
      <c r="O10" s="20">
        <v>147</v>
      </c>
      <c r="P10" s="20">
        <v>780</v>
      </c>
      <c r="Q10" s="20">
        <v>156</v>
      </c>
      <c r="R10" s="20">
        <v>780</v>
      </c>
      <c r="S10" s="20">
        <v>156</v>
      </c>
      <c r="T10" s="20">
        <v>780</v>
      </c>
      <c r="U10" s="20">
        <v>156</v>
      </c>
      <c r="V10" s="20">
        <v>745</v>
      </c>
      <c r="W10" s="20">
        <v>149</v>
      </c>
      <c r="X10" s="18">
        <v>0</v>
      </c>
      <c r="Y10" s="23"/>
      <c r="Z10" s="17" t="s">
        <v>233</v>
      </c>
      <c r="AA10" s="20">
        <f t="shared" si="0"/>
        <v>147</v>
      </c>
      <c r="AB10" s="20" t="e">
        <f t="shared" si="1"/>
        <v>#VALUE!</v>
      </c>
    </row>
    <row r="11" spans="1:28" ht="15.75">
      <c r="A11" s="19">
        <v>8</v>
      </c>
      <c r="B11" s="20" t="s">
        <v>53</v>
      </c>
      <c r="C11" s="24" t="s">
        <v>22</v>
      </c>
      <c r="D11" s="20">
        <v>3450</v>
      </c>
      <c r="E11" s="20">
        <v>690</v>
      </c>
      <c r="F11" s="19">
        <v>3450</v>
      </c>
      <c r="G11" s="19">
        <v>690</v>
      </c>
      <c r="H11" s="20">
        <v>3450</v>
      </c>
      <c r="I11" s="20">
        <v>690</v>
      </c>
      <c r="J11" s="20">
        <v>2930</v>
      </c>
      <c r="K11" s="20">
        <v>586</v>
      </c>
      <c r="L11" s="20">
        <v>2930</v>
      </c>
      <c r="M11" s="20">
        <v>586</v>
      </c>
      <c r="N11" s="20">
        <v>2830</v>
      </c>
      <c r="O11" s="20">
        <v>566</v>
      </c>
      <c r="P11" s="20">
        <v>2835</v>
      </c>
      <c r="Q11" s="20">
        <v>567</v>
      </c>
      <c r="R11" s="20">
        <v>2835</v>
      </c>
      <c r="S11" s="20">
        <v>567</v>
      </c>
      <c r="T11" s="20">
        <v>2835</v>
      </c>
      <c r="U11" s="20">
        <v>567</v>
      </c>
      <c r="V11" s="20">
        <v>2815</v>
      </c>
      <c r="W11" s="20">
        <v>563</v>
      </c>
      <c r="X11" s="18">
        <v>0</v>
      </c>
      <c r="Y11" s="23"/>
      <c r="Z11" s="17" t="s">
        <v>233</v>
      </c>
      <c r="AA11" s="20">
        <f t="shared" si="0"/>
        <v>566</v>
      </c>
      <c r="AB11" s="20" t="e">
        <f t="shared" si="1"/>
        <v>#VALUE!</v>
      </c>
    </row>
    <row r="12" spans="1:28" ht="15.75">
      <c r="A12" s="19">
        <v>9</v>
      </c>
      <c r="B12" s="20" t="s">
        <v>53</v>
      </c>
      <c r="C12" s="24" t="s">
        <v>23</v>
      </c>
      <c r="D12" s="20">
        <v>230.4</v>
      </c>
      <c r="E12" s="20">
        <v>288</v>
      </c>
      <c r="F12" s="19">
        <v>231.2</v>
      </c>
      <c r="G12" s="19">
        <v>289</v>
      </c>
      <c r="H12" s="20">
        <v>232</v>
      </c>
      <c r="I12" s="20">
        <v>290</v>
      </c>
      <c r="J12" s="20">
        <v>350.4</v>
      </c>
      <c r="K12" s="20">
        <v>438</v>
      </c>
      <c r="L12" s="20">
        <v>350.4</v>
      </c>
      <c r="M12" s="20">
        <v>438</v>
      </c>
      <c r="N12" s="20">
        <v>349.6</v>
      </c>
      <c r="O12" s="20">
        <v>437</v>
      </c>
      <c r="P12" s="20">
        <v>349.6</v>
      </c>
      <c r="Q12" s="20">
        <v>437</v>
      </c>
      <c r="R12" s="20">
        <v>349.6</v>
      </c>
      <c r="S12" s="20">
        <v>437</v>
      </c>
      <c r="T12" s="20">
        <v>349.6</v>
      </c>
      <c r="U12" s="20">
        <v>437</v>
      </c>
      <c r="V12" s="20">
        <v>349.6</v>
      </c>
      <c r="W12" s="20">
        <v>437</v>
      </c>
      <c r="X12" s="18">
        <v>0</v>
      </c>
      <c r="Y12" s="23"/>
      <c r="Z12" s="17"/>
      <c r="AA12" s="20">
        <f t="shared" si="0"/>
        <v>437</v>
      </c>
      <c r="AB12" s="20">
        <f t="shared" si="1"/>
        <v>0</v>
      </c>
    </row>
    <row r="13" spans="1:28" ht="15.75">
      <c r="A13" s="19">
        <v>10</v>
      </c>
      <c r="B13" s="20" t="s">
        <v>53</v>
      </c>
      <c r="C13" s="24" t="s">
        <v>25</v>
      </c>
      <c r="D13" s="20">
        <v>0</v>
      </c>
      <c r="E13" s="20">
        <v>0</v>
      </c>
      <c r="F13" s="102">
        <v>0</v>
      </c>
      <c r="G13" s="19">
        <v>0</v>
      </c>
      <c r="H13" s="20">
        <v>0</v>
      </c>
      <c r="I13" s="20">
        <v>0</v>
      </c>
      <c r="J13" s="20">
        <v>2114</v>
      </c>
      <c r="K13" s="20">
        <v>0</v>
      </c>
      <c r="L13" s="20">
        <v>2114</v>
      </c>
      <c r="M13" s="20">
        <v>0</v>
      </c>
      <c r="N13" s="20">
        <v>2089</v>
      </c>
      <c r="O13" s="20">
        <v>0</v>
      </c>
      <c r="P13" s="20">
        <v>2319</v>
      </c>
      <c r="Q13" s="20">
        <v>0</v>
      </c>
      <c r="R13" s="20">
        <v>2319</v>
      </c>
      <c r="S13" s="20">
        <v>0</v>
      </c>
      <c r="T13" s="20">
        <v>2319</v>
      </c>
      <c r="U13" s="20">
        <v>0</v>
      </c>
      <c r="V13" s="20">
        <v>4355</v>
      </c>
      <c r="W13" s="20">
        <v>0</v>
      </c>
      <c r="X13" s="18">
        <v>0</v>
      </c>
      <c r="Y13" s="23"/>
      <c r="Z13" s="17" t="s">
        <v>233</v>
      </c>
      <c r="AA13" s="20">
        <f t="shared" si="0"/>
        <v>0</v>
      </c>
      <c r="AB13" s="20">
        <v>0</v>
      </c>
    </row>
    <row r="14" spans="1:28" ht="15.75">
      <c r="A14" s="19">
        <v>11</v>
      </c>
      <c r="B14" s="20" t="s">
        <v>53</v>
      </c>
      <c r="C14" s="24" t="s">
        <v>26</v>
      </c>
      <c r="D14" s="20">
        <v>1974</v>
      </c>
      <c r="E14" s="20">
        <v>0</v>
      </c>
      <c r="F14" s="19">
        <v>2436</v>
      </c>
      <c r="G14" s="19">
        <v>0</v>
      </c>
      <c r="H14" s="20">
        <v>2812</v>
      </c>
      <c r="I14" s="20">
        <v>0</v>
      </c>
      <c r="J14" s="20">
        <v>3417</v>
      </c>
      <c r="K14" s="20">
        <v>0</v>
      </c>
      <c r="L14" s="20">
        <v>3417</v>
      </c>
      <c r="M14" s="20">
        <v>0</v>
      </c>
      <c r="N14" s="20">
        <v>3342</v>
      </c>
      <c r="O14" s="20">
        <v>0</v>
      </c>
      <c r="P14" s="20">
        <v>3342</v>
      </c>
      <c r="Q14" s="20">
        <v>0</v>
      </c>
      <c r="R14" s="20">
        <v>3342</v>
      </c>
      <c r="S14" s="20">
        <v>0</v>
      </c>
      <c r="T14" s="20">
        <v>3342</v>
      </c>
      <c r="U14" s="20">
        <v>0</v>
      </c>
      <c r="V14" s="20">
        <v>3108</v>
      </c>
      <c r="W14" s="20">
        <v>0</v>
      </c>
      <c r="X14" s="18">
        <v>0</v>
      </c>
      <c r="Y14" s="23"/>
      <c r="Z14" s="17"/>
      <c r="AA14" s="20">
        <f t="shared" si="0"/>
        <v>0</v>
      </c>
      <c r="AB14" s="20">
        <v>0</v>
      </c>
    </row>
    <row r="15" spans="1:28" ht="15.75">
      <c r="A15" s="19">
        <v>12</v>
      </c>
      <c r="B15" s="20" t="s">
        <v>53</v>
      </c>
      <c r="C15" s="21" t="s">
        <v>27</v>
      </c>
      <c r="D15" s="20">
        <v>0</v>
      </c>
      <c r="E15" s="20">
        <v>0</v>
      </c>
      <c r="F15" s="19">
        <v>0</v>
      </c>
      <c r="G15" s="19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18">
        <v>0</v>
      </c>
      <c r="Y15" s="23"/>
      <c r="Z15" s="17"/>
      <c r="AA15" s="20">
        <f t="shared" si="0"/>
        <v>0</v>
      </c>
      <c r="AB15" s="20">
        <v>0</v>
      </c>
    </row>
    <row r="16" spans="1:28" ht="15.75">
      <c r="A16" s="19">
        <v>13</v>
      </c>
      <c r="B16" s="20" t="s">
        <v>53</v>
      </c>
      <c r="C16" s="25" t="s">
        <v>28</v>
      </c>
      <c r="D16" s="20">
        <v>3136</v>
      </c>
      <c r="E16" s="20">
        <v>196</v>
      </c>
      <c r="F16" s="19">
        <v>3136</v>
      </c>
      <c r="G16" s="19">
        <v>196</v>
      </c>
      <c r="H16" s="20">
        <v>6756</v>
      </c>
      <c r="I16" s="20">
        <v>427</v>
      </c>
      <c r="J16" s="20">
        <v>7011</v>
      </c>
      <c r="K16" s="20">
        <v>442</v>
      </c>
      <c r="L16" s="20">
        <v>7011</v>
      </c>
      <c r="M16" s="20">
        <v>442</v>
      </c>
      <c r="N16" s="20">
        <v>6975</v>
      </c>
      <c r="O16" s="20">
        <v>440</v>
      </c>
      <c r="P16" s="20">
        <v>6975</v>
      </c>
      <c r="Q16" s="20">
        <v>440</v>
      </c>
      <c r="R16" s="20">
        <v>6975</v>
      </c>
      <c r="S16" s="20">
        <v>440</v>
      </c>
      <c r="T16" s="20">
        <v>6975</v>
      </c>
      <c r="U16" s="20">
        <v>440</v>
      </c>
      <c r="V16" s="20">
        <v>6975</v>
      </c>
      <c r="W16" s="20">
        <v>440</v>
      </c>
      <c r="X16" s="18">
        <v>0</v>
      </c>
      <c r="Y16" s="23"/>
      <c r="Z16" s="17"/>
      <c r="AA16" s="20">
        <f t="shared" si="0"/>
        <v>440</v>
      </c>
      <c r="AB16" s="20">
        <f>Z16/AA16</f>
        <v>0</v>
      </c>
    </row>
    <row r="17" spans="1:28" ht="15.75">
      <c r="A17" s="19">
        <v>14</v>
      </c>
      <c r="B17" s="20" t="s">
        <v>53</v>
      </c>
      <c r="C17" s="25" t="s">
        <v>29</v>
      </c>
      <c r="D17" s="20">
        <v>0</v>
      </c>
      <c r="E17" s="20">
        <v>0</v>
      </c>
      <c r="F17" s="19">
        <v>0</v>
      </c>
      <c r="G17" s="19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18">
        <v>0</v>
      </c>
      <c r="Y17" s="23"/>
      <c r="Z17" s="17"/>
      <c r="AA17" s="20">
        <f t="shared" si="0"/>
        <v>0</v>
      </c>
      <c r="AB17" s="20">
        <v>0</v>
      </c>
    </row>
    <row r="18" spans="1:28" ht="15.75">
      <c r="A18" s="19">
        <v>15</v>
      </c>
      <c r="B18" s="20" t="s">
        <v>53</v>
      </c>
      <c r="C18" s="25" t="s">
        <v>30</v>
      </c>
      <c r="D18" s="20">
        <v>7492</v>
      </c>
      <c r="E18" s="20">
        <v>0</v>
      </c>
      <c r="F18" s="19">
        <v>7492</v>
      </c>
      <c r="G18" s="19">
        <v>0</v>
      </c>
      <c r="H18" s="20">
        <v>13792</v>
      </c>
      <c r="I18" s="20">
        <v>0</v>
      </c>
      <c r="J18" s="20">
        <v>14270</v>
      </c>
      <c r="K18" s="20">
        <v>0</v>
      </c>
      <c r="L18" s="20">
        <v>14270</v>
      </c>
      <c r="M18" s="20">
        <v>0</v>
      </c>
      <c r="N18" s="20">
        <v>14090</v>
      </c>
      <c r="O18" s="20">
        <v>0</v>
      </c>
      <c r="P18" s="20">
        <v>14165</v>
      </c>
      <c r="Q18" s="20">
        <v>0</v>
      </c>
      <c r="R18" s="20">
        <v>14165</v>
      </c>
      <c r="S18" s="20">
        <v>0</v>
      </c>
      <c r="T18" s="20">
        <v>14165</v>
      </c>
      <c r="U18" s="20">
        <v>0</v>
      </c>
      <c r="V18" s="20">
        <v>13560</v>
      </c>
      <c r="W18" s="20">
        <v>0</v>
      </c>
      <c r="X18" s="18">
        <v>0</v>
      </c>
      <c r="Y18" s="23"/>
      <c r="Z18" s="17" t="s">
        <v>233</v>
      </c>
      <c r="AA18" s="20">
        <f t="shared" si="0"/>
        <v>0</v>
      </c>
      <c r="AB18" s="20">
        <v>0</v>
      </c>
    </row>
    <row r="19" spans="1:28" ht="15.75">
      <c r="A19" s="19">
        <v>16</v>
      </c>
      <c r="B19" s="20" t="s">
        <v>53</v>
      </c>
      <c r="C19" s="25" t="s">
        <v>31</v>
      </c>
      <c r="D19" s="20">
        <v>5863</v>
      </c>
      <c r="E19" s="20">
        <v>0</v>
      </c>
      <c r="F19" s="19">
        <v>7465</v>
      </c>
      <c r="G19" s="19">
        <v>0</v>
      </c>
      <c r="H19" s="20">
        <v>9065</v>
      </c>
      <c r="I19" s="20">
        <v>0</v>
      </c>
      <c r="J19" s="20">
        <v>7925</v>
      </c>
      <c r="K19" s="20">
        <v>0</v>
      </c>
      <c r="L19" s="20">
        <v>7925</v>
      </c>
      <c r="M19" s="20">
        <v>0</v>
      </c>
      <c r="N19" s="20">
        <v>7225</v>
      </c>
      <c r="O19" s="20">
        <v>0</v>
      </c>
      <c r="P19" s="20">
        <v>7225</v>
      </c>
      <c r="Q19" s="20">
        <v>0</v>
      </c>
      <c r="R19" s="20">
        <v>7225</v>
      </c>
      <c r="S19" s="20">
        <v>0</v>
      </c>
      <c r="T19" s="20">
        <v>7225</v>
      </c>
      <c r="U19" s="20">
        <v>0</v>
      </c>
      <c r="V19" s="20">
        <v>7129</v>
      </c>
      <c r="W19" s="20">
        <v>0</v>
      </c>
      <c r="X19" s="18">
        <v>0</v>
      </c>
      <c r="Y19" s="23"/>
      <c r="Z19" s="17"/>
      <c r="AA19" s="20">
        <f t="shared" si="0"/>
        <v>0</v>
      </c>
      <c r="AB19" s="20">
        <v>0</v>
      </c>
    </row>
    <row r="20" spans="1:28" ht="15.75">
      <c r="A20" s="19">
        <v>17</v>
      </c>
      <c r="B20" s="20" t="s">
        <v>53</v>
      </c>
      <c r="C20" s="25" t="s">
        <v>32</v>
      </c>
      <c r="D20" s="20">
        <v>0</v>
      </c>
      <c r="E20" s="20">
        <v>0</v>
      </c>
      <c r="F20" s="19">
        <v>0</v>
      </c>
      <c r="G20" s="19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18">
        <v>0</v>
      </c>
      <c r="Y20" s="23"/>
      <c r="Z20" s="17"/>
      <c r="AA20" s="20">
        <f t="shared" si="0"/>
        <v>0</v>
      </c>
      <c r="AB20" s="20">
        <v>0</v>
      </c>
    </row>
    <row r="21" spans="1:28" ht="15.75">
      <c r="A21" s="19">
        <v>18</v>
      </c>
      <c r="B21" s="20" t="s">
        <v>53</v>
      </c>
      <c r="C21" s="25" t="s">
        <v>33</v>
      </c>
      <c r="D21" s="20">
        <v>3335</v>
      </c>
      <c r="E21" s="20">
        <v>0</v>
      </c>
      <c r="F21" s="102">
        <v>3335</v>
      </c>
      <c r="G21" s="19">
        <v>0</v>
      </c>
      <c r="H21" s="20">
        <v>3685</v>
      </c>
      <c r="I21" s="20">
        <v>0</v>
      </c>
      <c r="J21" s="20">
        <v>5245</v>
      </c>
      <c r="K21" s="20">
        <v>0</v>
      </c>
      <c r="L21" s="20">
        <v>5245</v>
      </c>
      <c r="M21" s="20">
        <v>0</v>
      </c>
      <c r="N21" s="20">
        <v>5095</v>
      </c>
      <c r="O21" s="20">
        <v>0</v>
      </c>
      <c r="P21" s="20">
        <v>5120</v>
      </c>
      <c r="Q21" s="20">
        <v>0</v>
      </c>
      <c r="R21" s="20">
        <v>5120</v>
      </c>
      <c r="S21" s="20">
        <v>0</v>
      </c>
      <c r="T21" s="20">
        <v>5120</v>
      </c>
      <c r="U21" s="20">
        <v>0</v>
      </c>
      <c r="V21" s="20">
        <v>5110</v>
      </c>
      <c r="W21" s="20">
        <v>0</v>
      </c>
      <c r="X21" s="18">
        <v>0</v>
      </c>
      <c r="Y21" s="23"/>
      <c r="Z21" s="17" t="s">
        <v>233</v>
      </c>
      <c r="AA21" s="20">
        <f t="shared" si="0"/>
        <v>0</v>
      </c>
      <c r="AB21" s="20">
        <v>0</v>
      </c>
    </row>
    <row r="22" spans="1:28" ht="15.75">
      <c r="A22" s="19">
        <v>19</v>
      </c>
      <c r="B22" s="20" t="s">
        <v>53</v>
      </c>
      <c r="C22" s="25" t="s">
        <v>34</v>
      </c>
      <c r="D22" s="20">
        <v>0</v>
      </c>
      <c r="E22" s="20">
        <v>0</v>
      </c>
      <c r="F22" s="19">
        <v>0</v>
      </c>
      <c r="G22" s="19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18">
        <v>0</v>
      </c>
      <c r="Y22" s="23"/>
      <c r="Z22" s="17"/>
      <c r="AA22" s="20">
        <f t="shared" si="0"/>
        <v>0</v>
      </c>
      <c r="AB22" s="20">
        <v>0</v>
      </c>
    </row>
    <row r="23" spans="1:28" ht="15.75">
      <c r="A23" s="19">
        <v>20</v>
      </c>
      <c r="B23" s="20" t="s">
        <v>53</v>
      </c>
      <c r="C23" s="25" t="s">
        <v>35</v>
      </c>
      <c r="D23" s="20">
        <v>0</v>
      </c>
      <c r="E23" s="20">
        <v>0</v>
      </c>
      <c r="F23" s="19">
        <v>0</v>
      </c>
      <c r="G23" s="19">
        <v>0</v>
      </c>
      <c r="H23" s="20">
        <v>80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18">
        <v>0</v>
      </c>
      <c r="Y23" s="23"/>
      <c r="Z23" s="17"/>
      <c r="AA23" s="20">
        <f t="shared" si="0"/>
        <v>0</v>
      </c>
      <c r="AB23" s="20">
        <v>0</v>
      </c>
    </row>
    <row r="24" spans="1:28" ht="15.75">
      <c r="A24" s="19">
        <v>21</v>
      </c>
      <c r="B24" s="20" t="s">
        <v>53</v>
      </c>
      <c r="C24" s="25" t="s">
        <v>36</v>
      </c>
      <c r="D24" s="20">
        <v>80</v>
      </c>
      <c r="E24" s="20">
        <v>0</v>
      </c>
      <c r="F24" s="19">
        <v>80</v>
      </c>
      <c r="G24" s="19">
        <v>0</v>
      </c>
      <c r="H24" s="20">
        <v>0</v>
      </c>
      <c r="I24" s="20">
        <v>0</v>
      </c>
      <c r="J24" s="20">
        <v>80</v>
      </c>
      <c r="K24" s="20">
        <v>0</v>
      </c>
      <c r="L24" s="20">
        <v>80</v>
      </c>
      <c r="M24" s="20">
        <v>0</v>
      </c>
      <c r="N24" s="20">
        <v>80</v>
      </c>
      <c r="O24" s="20">
        <v>0</v>
      </c>
      <c r="P24" s="20">
        <v>30</v>
      </c>
      <c r="Q24" s="20">
        <v>0</v>
      </c>
      <c r="R24" s="20">
        <v>30</v>
      </c>
      <c r="S24" s="20">
        <v>0</v>
      </c>
      <c r="T24" s="20">
        <v>30</v>
      </c>
      <c r="U24" s="20">
        <v>0</v>
      </c>
      <c r="V24" s="20">
        <v>30</v>
      </c>
      <c r="W24" s="20">
        <v>0</v>
      </c>
      <c r="X24" s="18">
        <v>0</v>
      </c>
      <c r="Y24" s="277" t="s">
        <v>235</v>
      </c>
      <c r="Z24" s="17"/>
      <c r="AA24" s="20">
        <f t="shared" si="0"/>
        <v>0</v>
      </c>
      <c r="AB24" s="20">
        <v>0</v>
      </c>
    </row>
    <row r="25" spans="1:28" ht="15.75">
      <c r="A25" s="19">
        <v>22</v>
      </c>
      <c r="B25" s="20" t="s">
        <v>53</v>
      </c>
      <c r="C25" s="25" t="s">
        <v>37</v>
      </c>
      <c r="D25" s="20">
        <f>280+18</f>
        <v>298</v>
      </c>
      <c r="E25" s="20">
        <v>0</v>
      </c>
      <c r="F25" s="19">
        <v>298</v>
      </c>
      <c r="G25" s="19">
        <v>0</v>
      </c>
      <c r="H25" s="20">
        <v>433</v>
      </c>
      <c r="I25" s="20">
        <v>0</v>
      </c>
      <c r="J25" s="20">
        <v>433</v>
      </c>
      <c r="K25" s="20">
        <v>0</v>
      </c>
      <c r="L25" s="20">
        <v>433</v>
      </c>
      <c r="M25" s="20">
        <v>0</v>
      </c>
      <c r="N25" s="20">
        <v>443</v>
      </c>
      <c r="O25" s="20">
        <v>0</v>
      </c>
      <c r="P25" s="20">
        <v>443</v>
      </c>
      <c r="Q25" s="20">
        <v>0</v>
      </c>
      <c r="R25" s="20">
        <v>443</v>
      </c>
      <c r="S25" s="20">
        <v>0</v>
      </c>
      <c r="T25" s="20">
        <v>443</v>
      </c>
      <c r="U25" s="20">
        <v>0</v>
      </c>
      <c r="V25" s="20">
        <v>443</v>
      </c>
      <c r="W25" s="20">
        <v>0</v>
      </c>
      <c r="X25" s="18">
        <v>0</v>
      </c>
      <c r="Y25" s="23"/>
      <c r="Z25" s="17"/>
      <c r="AA25" s="20">
        <f t="shared" si="0"/>
        <v>0</v>
      </c>
      <c r="AB25" s="20">
        <v>0</v>
      </c>
    </row>
    <row r="26" spans="1:28" ht="15.75">
      <c r="A26" s="19">
        <v>23</v>
      </c>
      <c r="B26" s="20" t="s">
        <v>53</v>
      </c>
      <c r="C26" s="21" t="s">
        <v>38</v>
      </c>
      <c r="D26" s="20">
        <v>0</v>
      </c>
      <c r="E26" s="20">
        <v>0</v>
      </c>
      <c r="F26" s="19">
        <v>0</v>
      </c>
      <c r="G26" s="19">
        <v>0</v>
      </c>
      <c r="H26" s="20">
        <v>0</v>
      </c>
      <c r="I26" s="20">
        <v>0</v>
      </c>
      <c r="J26" s="20"/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18">
        <v>0</v>
      </c>
      <c r="Y26" s="23"/>
      <c r="Z26" s="17"/>
      <c r="AA26" s="20">
        <f t="shared" si="0"/>
        <v>0</v>
      </c>
      <c r="AB26" s="20">
        <v>0</v>
      </c>
    </row>
    <row r="27" spans="1:28" ht="15.75">
      <c r="A27" s="19">
        <v>24</v>
      </c>
      <c r="B27" s="20" t="s">
        <v>53</v>
      </c>
      <c r="C27" s="21" t="s">
        <v>39</v>
      </c>
      <c r="D27" s="20">
        <f>E27*1.4</f>
        <v>196</v>
      </c>
      <c r="E27" s="20">
        <v>140</v>
      </c>
      <c r="F27" s="19">
        <f>G27*1.4</f>
        <v>196</v>
      </c>
      <c r="G27" s="19">
        <v>140</v>
      </c>
      <c r="H27" s="20">
        <v>196</v>
      </c>
      <c r="I27" s="20">
        <v>140</v>
      </c>
      <c r="J27" s="20">
        <f>K27*1.4</f>
        <v>161</v>
      </c>
      <c r="K27" s="20">
        <v>115</v>
      </c>
      <c r="L27" s="20">
        <f>M27*1.4</f>
        <v>196</v>
      </c>
      <c r="M27" s="20">
        <v>140</v>
      </c>
      <c r="N27" s="20">
        <v>196</v>
      </c>
      <c r="O27" s="20">
        <v>140</v>
      </c>
      <c r="P27" s="20">
        <v>196</v>
      </c>
      <c r="Q27" s="20">
        <v>140</v>
      </c>
      <c r="R27" s="20">
        <v>196</v>
      </c>
      <c r="S27" s="20">
        <v>140</v>
      </c>
      <c r="T27" s="20">
        <v>196</v>
      </c>
      <c r="U27" s="20">
        <v>140</v>
      </c>
      <c r="V27" s="20">
        <v>196</v>
      </c>
      <c r="W27" s="20">
        <v>140</v>
      </c>
      <c r="X27" s="18">
        <v>0</v>
      </c>
      <c r="Y27" s="23"/>
      <c r="Z27" s="17"/>
      <c r="AA27" s="20">
        <f t="shared" si="0"/>
        <v>140</v>
      </c>
      <c r="AB27" s="20">
        <v>0</v>
      </c>
    </row>
    <row r="28" spans="1:28" ht="15.75">
      <c r="A28" s="19">
        <v>25</v>
      </c>
      <c r="B28" s="20" t="s">
        <v>53</v>
      </c>
      <c r="C28" s="21" t="s">
        <v>40</v>
      </c>
      <c r="D28" s="20">
        <f>E28*0.4</f>
        <v>60</v>
      </c>
      <c r="E28" s="20">
        <v>150</v>
      </c>
      <c r="F28" s="19">
        <f>G28*0.4</f>
        <v>60</v>
      </c>
      <c r="G28" s="19">
        <v>150</v>
      </c>
      <c r="H28" s="20">
        <v>60</v>
      </c>
      <c r="I28" s="20">
        <v>150</v>
      </c>
      <c r="J28" s="20">
        <f>K28*0.4</f>
        <v>60</v>
      </c>
      <c r="K28" s="20">
        <v>150</v>
      </c>
      <c r="L28" s="20">
        <f>M28*0.4</f>
        <v>60</v>
      </c>
      <c r="M28" s="20">
        <v>150</v>
      </c>
      <c r="N28" s="20">
        <v>60</v>
      </c>
      <c r="O28" s="20">
        <v>150</v>
      </c>
      <c r="P28" s="20">
        <v>60</v>
      </c>
      <c r="Q28" s="20">
        <v>150</v>
      </c>
      <c r="R28" s="20">
        <v>60</v>
      </c>
      <c r="S28" s="20">
        <v>150</v>
      </c>
      <c r="T28" s="20">
        <v>60</v>
      </c>
      <c r="U28" s="20">
        <v>150</v>
      </c>
      <c r="V28" s="20">
        <v>60</v>
      </c>
      <c r="W28" s="20">
        <v>150</v>
      </c>
      <c r="X28" s="18">
        <v>0</v>
      </c>
      <c r="Y28" s="23"/>
      <c r="Z28" s="17"/>
      <c r="AA28" s="20">
        <f t="shared" si="0"/>
        <v>150</v>
      </c>
      <c r="AB28" s="20">
        <v>0</v>
      </c>
    </row>
    <row r="29" spans="1:28" ht="15.75">
      <c r="A29" s="19">
        <v>26</v>
      </c>
      <c r="B29" s="20" t="s">
        <v>53</v>
      </c>
      <c r="C29" s="21" t="s">
        <v>41</v>
      </c>
      <c r="D29" s="20">
        <v>0</v>
      </c>
      <c r="E29" s="20">
        <v>400</v>
      </c>
      <c r="F29" s="19">
        <v>0</v>
      </c>
      <c r="G29" s="19">
        <v>400</v>
      </c>
      <c r="H29" s="20">
        <v>0</v>
      </c>
      <c r="I29" s="20">
        <v>400</v>
      </c>
      <c r="J29" s="20"/>
      <c r="K29" s="20">
        <v>400</v>
      </c>
      <c r="L29" s="20">
        <v>0</v>
      </c>
      <c r="M29" s="20">
        <v>400</v>
      </c>
      <c r="N29" s="20">
        <v>0</v>
      </c>
      <c r="O29" s="20">
        <v>700</v>
      </c>
      <c r="P29" s="20">
        <v>0</v>
      </c>
      <c r="Q29" s="20">
        <v>700</v>
      </c>
      <c r="R29" s="20">
        <v>0</v>
      </c>
      <c r="S29" s="20">
        <v>700</v>
      </c>
      <c r="T29" s="20">
        <v>0</v>
      </c>
      <c r="U29" s="20">
        <v>700</v>
      </c>
      <c r="V29" s="20">
        <v>0</v>
      </c>
      <c r="W29" s="20">
        <v>700</v>
      </c>
      <c r="X29" s="18">
        <v>0</v>
      </c>
      <c r="Y29" s="29"/>
      <c r="Z29" s="17"/>
      <c r="AA29" s="20">
        <f t="shared" si="0"/>
        <v>700</v>
      </c>
      <c r="AB29" s="20">
        <v>0</v>
      </c>
    </row>
    <row r="30" spans="1:28" ht="15.75">
      <c r="A30" s="19">
        <v>27</v>
      </c>
      <c r="B30" s="20" t="s">
        <v>53</v>
      </c>
      <c r="C30" s="21" t="s">
        <v>42</v>
      </c>
      <c r="D30" s="20">
        <v>546</v>
      </c>
      <c r="E30" s="20">
        <v>910</v>
      </c>
      <c r="F30" s="19">
        <f>G30*0.6</f>
        <v>546</v>
      </c>
      <c r="G30" s="19">
        <v>910</v>
      </c>
      <c r="H30" s="20">
        <v>546</v>
      </c>
      <c r="I30" s="20">
        <v>910</v>
      </c>
      <c r="J30" s="20">
        <f>K30*0.6</f>
        <v>666.6</v>
      </c>
      <c r="K30" s="20">
        <v>1111</v>
      </c>
      <c r="L30" s="20">
        <f>M30*0.6</f>
        <v>666.72</v>
      </c>
      <c r="M30" s="20">
        <v>1111.2</v>
      </c>
      <c r="N30" s="20">
        <v>667.2</v>
      </c>
      <c r="O30" s="20">
        <v>1112</v>
      </c>
      <c r="P30" s="20">
        <v>667.2</v>
      </c>
      <c r="Q30" s="20">
        <v>1112</v>
      </c>
      <c r="R30" s="20">
        <v>667.2</v>
      </c>
      <c r="S30" s="20">
        <v>1112</v>
      </c>
      <c r="T30" s="20">
        <v>667.2</v>
      </c>
      <c r="U30" s="20">
        <v>1112</v>
      </c>
      <c r="V30" s="20">
        <v>667.2</v>
      </c>
      <c r="W30" s="20">
        <v>1112</v>
      </c>
      <c r="X30" s="18">
        <v>0</v>
      </c>
      <c r="Y30" s="29"/>
      <c r="Z30" s="17"/>
      <c r="AA30" s="20">
        <f t="shared" si="0"/>
        <v>1112</v>
      </c>
      <c r="AB30" s="20">
        <v>0</v>
      </c>
    </row>
    <row r="31" spans="1:28" ht="15.75">
      <c r="A31" s="19">
        <v>31</v>
      </c>
      <c r="B31" s="20" t="s">
        <v>53</v>
      </c>
      <c r="C31" s="21" t="s">
        <v>43</v>
      </c>
      <c r="D31" s="20">
        <v>0</v>
      </c>
      <c r="E31" s="20">
        <v>60</v>
      </c>
      <c r="F31" s="19">
        <v>0</v>
      </c>
      <c r="G31" s="19">
        <v>60</v>
      </c>
      <c r="H31" s="19">
        <v>0</v>
      </c>
      <c r="I31" s="20">
        <v>60</v>
      </c>
      <c r="J31" s="20"/>
      <c r="K31" s="20">
        <v>310</v>
      </c>
      <c r="L31" s="20">
        <v>0</v>
      </c>
      <c r="M31" s="20">
        <v>310</v>
      </c>
      <c r="N31" s="20">
        <v>0</v>
      </c>
      <c r="O31" s="20">
        <v>310</v>
      </c>
      <c r="P31" s="20">
        <v>0</v>
      </c>
      <c r="Q31" s="20">
        <v>310</v>
      </c>
      <c r="R31" s="20">
        <v>0</v>
      </c>
      <c r="S31" s="20">
        <v>310</v>
      </c>
      <c r="T31" s="20">
        <v>0</v>
      </c>
      <c r="U31" s="20">
        <v>310</v>
      </c>
      <c r="V31" s="20">
        <v>0</v>
      </c>
      <c r="W31" s="20">
        <v>0</v>
      </c>
      <c r="X31" s="18">
        <v>0</v>
      </c>
      <c r="Y31" s="29"/>
      <c r="Z31" s="17"/>
      <c r="AA31" s="20">
        <f t="shared" si="0"/>
        <v>310</v>
      </c>
      <c r="AB31" s="20">
        <v>0</v>
      </c>
    </row>
    <row r="32" spans="1:28">
      <c r="A32" s="28"/>
      <c r="B32" s="28"/>
      <c r="C32" s="180" t="s">
        <v>92</v>
      </c>
      <c r="D32" s="19">
        <f>SUM(D4:D31)</f>
        <v>64345.200000000004</v>
      </c>
      <c r="E32" s="19">
        <f>SUM(E4:E31)</f>
        <v>4726</v>
      </c>
      <c r="F32" s="19">
        <f>SUM(F4:F30)</f>
        <v>72435</v>
      </c>
      <c r="G32" s="19">
        <f t="shared" ref="G32:M32" si="2">SUM(G4:G31)</f>
        <v>5648</v>
      </c>
      <c r="H32" s="19">
        <f t="shared" si="2"/>
        <v>95014.8</v>
      </c>
      <c r="I32" s="19">
        <f t="shared" si="2"/>
        <v>6454</v>
      </c>
      <c r="J32" s="19">
        <f t="shared" si="2"/>
        <v>93161.800000000017</v>
      </c>
      <c r="K32" s="19">
        <f t="shared" si="2"/>
        <v>6593</v>
      </c>
      <c r="L32" s="19">
        <f t="shared" si="2"/>
        <v>93196.920000000013</v>
      </c>
      <c r="M32" s="19">
        <f t="shared" si="2"/>
        <v>6618.2</v>
      </c>
      <c r="N32" s="102">
        <f t="shared" ref="N32:U32" si="3">SUM(N4:N31)</f>
        <v>93436.2</v>
      </c>
      <c r="O32" s="19">
        <f t="shared" si="3"/>
        <v>6826</v>
      </c>
      <c r="P32" s="19">
        <f t="shared" si="3"/>
        <v>94071.2</v>
      </c>
      <c r="Q32" s="19">
        <f t="shared" si="3"/>
        <v>6849</v>
      </c>
      <c r="R32" s="19">
        <f t="shared" si="3"/>
        <v>94071.2</v>
      </c>
      <c r="S32" s="19">
        <f t="shared" si="3"/>
        <v>6849</v>
      </c>
      <c r="T32" s="19">
        <f>SUM(T4:T31)</f>
        <v>94071.2</v>
      </c>
      <c r="U32" s="19">
        <f t="shared" si="3"/>
        <v>6849</v>
      </c>
      <c r="V32" s="19">
        <f>SUM(V4:V31)</f>
        <v>94280.2</v>
      </c>
      <c r="W32" s="19">
        <f>SUM(W5:W31)</f>
        <v>6477</v>
      </c>
      <c r="X32" s="19">
        <f>SUM(X4:X31)</f>
        <v>0</v>
      </c>
      <c r="Y32" s="20"/>
      <c r="Z32" s="20" t="s">
        <v>234</v>
      </c>
      <c r="AA32" s="276">
        <f>SUM(AA4:AA31)</f>
        <v>6826</v>
      </c>
      <c r="AB32" s="28"/>
    </row>
    <row r="33" spans="16:26">
      <c r="P33" s="278" t="s">
        <v>127</v>
      </c>
      <c r="Z33" s="36"/>
    </row>
  </sheetData>
  <mergeCells count="11">
    <mergeCell ref="A1:AB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18" right="0.25" top="0.75" bottom="0.75" header="0.3" footer="0.3"/>
  <pageSetup paperSize="9"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35"/>
  <sheetViews>
    <sheetView topLeftCell="C1" workbookViewId="0">
      <selection activeCell="U40" sqref="U40"/>
    </sheetView>
  </sheetViews>
  <sheetFormatPr defaultColWidth="9" defaultRowHeight="15"/>
  <cols>
    <col min="2" max="2" width="14.140625" customWidth="1"/>
    <col min="3" max="3" width="26" customWidth="1"/>
    <col min="4" max="6" width="13.42578125" hidden="1" customWidth="1"/>
    <col min="7" max="7" width="12.7109375" hidden="1" customWidth="1"/>
    <col min="8" max="8" width="13.42578125" hidden="1" customWidth="1"/>
    <col min="9" max="17" width="12.7109375" hidden="1" customWidth="1"/>
    <col min="18" max="21" width="12.7109375" customWidth="1"/>
    <col min="22" max="22" width="13.28515625" bestFit="1" customWidth="1"/>
    <col min="23" max="23" width="12.7109375" customWidth="1"/>
    <col min="24" max="24" width="16.28515625" bestFit="1" customWidth="1"/>
    <col min="26" max="26" width="10.7109375" customWidth="1"/>
    <col min="27" max="27" width="9" style="35"/>
  </cols>
  <sheetData>
    <row r="1" spans="1:26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26" ht="42.7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164</v>
      </c>
      <c r="K2" s="290"/>
      <c r="L2" s="289" t="s">
        <v>171</v>
      </c>
      <c r="M2" s="290"/>
      <c r="N2" s="289" t="s">
        <v>232</v>
      </c>
      <c r="O2" s="290"/>
      <c r="P2" s="289" t="s">
        <v>240</v>
      </c>
      <c r="Q2" s="290"/>
      <c r="R2" s="289" t="s">
        <v>243</v>
      </c>
      <c r="S2" s="290"/>
      <c r="T2" s="289" t="s">
        <v>247</v>
      </c>
      <c r="U2" s="290"/>
      <c r="V2" s="162" t="s">
        <v>150</v>
      </c>
      <c r="W2" s="162" t="s">
        <v>150</v>
      </c>
      <c r="X2" s="108" t="s">
        <v>153</v>
      </c>
      <c r="Y2" s="108"/>
      <c r="Z2" s="108"/>
    </row>
    <row r="3" spans="1:26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7" t="s">
        <v>4</v>
      </c>
      <c r="U3" s="17" t="s">
        <v>109</v>
      </c>
      <c r="V3" s="18" t="s">
        <v>125</v>
      </c>
      <c r="W3" s="18" t="s">
        <v>8</v>
      </c>
      <c r="X3" s="17" t="s">
        <v>10</v>
      </c>
      <c r="Y3" s="17" t="s">
        <v>11</v>
      </c>
      <c r="Z3" s="20" t="s">
        <v>12</v>
      </c>
    </row>
    <row r="4" spans="1:26" ht="15.75">
      <c r="A4" s="19">
        <v>1</v>
      </c>
      <c r="B4" s="20" t="s">
        <v>52</v>
      </c>
      <c r="C4" s="21" t="s">
        <v>14</v>
      </c>
      <c r="D4" s="99">
        <v>-1147.96</v>
      </c>
      <c r="E4" s="99">
        <v>0</v>
      </c>
      <c r="F4" s="99">
        <v>-1147.96</v>
      </c>
      <c r="G4" s="99">
        <v>0</v>
      </c>
      <c r="H4" s="99">
        <v>-1147.96</v>
      </c>
      <c r="I4" s="99">
        <v>0</v>
      </c>
      <c r="J4" s="99">
        <v>-1147.96</v>
      </c>
      <c r="K4" s="99">
        <v>0</v>
      </c>
      <c r="L4" s="99">
        <v>-1147.96</v>
      </c>
      <c r="M4" s="99">
        <v>0</v>
      </c>
      <c r="N4" s="99">
        <v>-1147.96</v>
      </c>
      <c r="O4" s="99">
        <f>L4-N4</f>
        <v>0</v>
      </c>
      <c r="P4" s="99">
        <v>-1147.96</v>
      </c>
      <c r="Q4" s="99">
        <f>N4-P4</f>
        <v>0</v>
      </c>
      <c r="R4" s="99">
        <v>-1147.96</v>
      </c>
      <c r="S4" s="99">
        <f>P4-R4</f>
        <v>0</v>
      </c>
      <c r="T4" s="99">
        <v>-1147.96</v>
      </c>
      <c r="U4" s="99">
        <f>R4-T4</f>
        <v>0</v>
      </c>
      <c r="V4" s="18"/>
      <c r="W4" s="22"/>
      <c r="X4" s="174">
        <f t="shared" ref="X4:X31" si="0">(H4+V4)-W4</f>
        <v>-1147.96</v>
      </c>
      <c r="Y4" s="20"/>
      <c r="Z4" s="28"/>
    </row>
    <row r="5" spans="1:26" ht="15.75">
      <c r="A5" s="19">
        <v>2</v>
      </c>
      <c r="B5" s="20" t="s">
        <v>52</v>
      </c>
      <c r="C5" s="21" t="s">
        <v>15</v>
      </c>
      <c r="D5" s="99">
        <v>-103.8</v>
      </c>
      <c r="E5" s="99">
        <v>0</v>
      </c>
      <c r="F5" s="99">
        <v>-103.8</v>
      </c>
      <c r="G5" s="99">
        <v>0</v>
      </c>
      <c r="H5" s="99">
        <v>-103.8</v>
      </c>
      <c r="I5" s="99">
        <v>0</v>
      </c>
      <c r="J5" s="99">
        <v>-103.8</v>
      </c>
      <c r="K5" s="99">
        <v>0</v>
      </c>
      <c r="L5" s="99">
        <v>-103.8</v>
      </c>
      <c r="M5" s="99">
        <v>0</v>
      </c>
      <c r="N5" s="99">
        <v>-23.8</v>
      </c>
      <c r="O5" s="99">
        <f t="shared" ref="O5:O31" si="1">L5-N5</f>
        <v>-80</v>
      </c>
      <c r="P5" s="99">
        <v>-23.8</v>
      </c>
      <c r="Q5" s="99">
        <f t="shared" ref="Q5:Q25" si="2">N5-P5</f>
        <v>0</v>
      </c>
      <c r="R5" s="99">
        <v>-23.8</v>
      </c>
      <c r="S5" s="99">
        <f t="shared" ref="S5:S25" si="3">P5-R5</f>
        <v>0</v>
      </c>
      <c r="T5" s="99">
        <v>-23.8</v>
      </c>
      <c r="U5" s="99">
        <f t="shared" ref="U5:U25" si="4">R5-T5</f>
        <v>0</v>
      </c>
      <c r="V5" s="18"/>
      <c r="W5" s="22"/>
      <c r="X5" s="174">
        <f t="shared" si="0"/>
        <v>-103.8</v>
      </c>
      <c r="Y5" s="32">
        <f>X5/19</f>
        <v>-5.4631578947368418</v>
      </c>
      <c r="Z5" s="20">
        <f t="shared" ref="Z5:Z12" si="5">X5/Y5</f>
        <v>19</v>
      </c>
    </row>
    <row r="6" spans="1:26" ht="15.75">
      <c r="A6" s="19">
        <v>3</v>
      </c>
      <c r="B6" s="20" t="s">
        <v>52</v>
      </c>
      <c r="C6" s="21" t="s">
        <v>16</v>
      </c>
      <c r="D6" s="20">
        <v>2460.5</v>
      </c>
      <c r="E6" s="20">
        <v>66.5</v>
      </c>
      <c r="F6" s="20">
        <v>2460.5</v>
      </c>
      <c r="G6" s="20">
        <v>66.5</v>
      </c>
      <c r="H6" s="20">
        <v>2460.5</v>
      </c>
      <c r="I6" s="20">
        <v>66.5</v>
      </c>
      <c r="J6" s="20">
        <v>2460.5</v>
      </c>
      <c r="K6" s="20">
        <v>66.5</v>
      </c>
      <c r="L6" s="20">
        <v>2460.5</v>
      </c>
      <c r="M6" s="20">
        <v>66.5</v>
      </c>
      <c r="N6" s="20">
        <v>2460.5</v>
      </c>
      <c r="O6" s="99">
        <f t="shared" si="1"/>
        <v>0</v>
      </c>
      <c r="P6" s="20">
        <v>2460.5</v>
      </c>
      <c r="Q6" s="99">
        <f t="shared" si="2"/>
        <v>0</v>
      </c>
      <c r="R6" s="20">
        <v>2460.5</v>
      </c>
      <c r="S6" s="99">
        <f t="shared" si="3"/>
        <v>0</v>
      </c>
      <c r="T6" s="20">
        <v>2460.5</v>
      </c>
      <c r="U6" s="99">
        <f t="shared" si="4"/>
        <v>0</v>
      </c>
      <c r="V6" s="18"/>
      <c r="W6" s="22"/>
      <c r="X6" s="31">
        <f t="shared" si="0"/>
        <v>2460.5</v>
      </c>
      <c r="Y6" s="32">
        <f>X6/37</f>
        <v>66.5</v>
      </c>
      <c r="Z6" s="20">
        <f t="shared" si="5"/>
        <v>37</v>
      </c>
    </row>
    <row r="7" spans="1:26" ht="15.75">
      <c r="A7" s="19">
        <v>4</v>
      </c>
      <c r="B7" s="20" t="s">
        <v>52</v>
      </c>
      <c r="C7" s="21" t="s">
        <v>17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99">
        <f t="shared" si="1"/>
        <v>0</v>
      </c>
      <c r="P7" s="20">
        <v>0</v>
      </c>
      <c r="Q7" s="99">
        <f t="shared" si="2"/>
        <v>0</v>
      </c>
      <c r="R7" s="20">
        <v>0</v>
      </c>
      <c r="S7" s="99">
        <f t="shared" si="3"/>
        <v>0</v>
      </c>
      <c r="T7" s="20">
        <v>0</v>
      </c>
      <c r="U7" s="99">
        <f t="shared" si="4"/>
        <v>0</v>
      </c>
      <c r="V7" s="18"/>
      <c r="W7" s="22"/>
      <c r="X7" s="31">
        <f t="shared" si="0"/>
        <v>0</v>
      </c>
      <c r="Y7" s="32">
        <f>X7/17</f>
        <v>0</v>
      </c>
      <c r="Z7" s="20" t="e">
        <f t="shared" si="5"/>
        <v>#DIV/0!</v>
      </c>
    </row>
    <row r="8" spans="1:26" ht="15.75">
      <c r="A8" s="19">
        <v>5</v>
      </c>
      <c r="B8" s="20" t="s">
        <v>52</v>
      </c>
      <c r="C8" s="21" t="s">
        <v>18</v>
      </c>
      <c r="D8" s="99">
        <v>-360</v>
      </c>
      <c r="E8" s="99">
        <v>-72</v>
      </c>
      <c r="F8" s="99">
        <v>-360</v>
      </c>
      <c r="G8" s="99">
        <v>-72</v>
      </c>
      <c r="H8" s="99">
        <v>-360</v>
      </c>
      <c r="I8" s="99">
        <v>-72</v>
      </c>
      <c r="J8" s="99">
        <v>-360</v>
      </c>
      <c r="K8" s="99">
        <v>-72</v>
      </c>
      <c r="L8" s="99">
        <v>-360</v>
      </c>
      <c r="M8" s="99">
        <v>-72</v>
      </c>
      <c r="N8" s="270">
        <v>640</v>
      </c>
      <c r="O8" s="99">
        <f t="shared" si="1"/>
        <v>-1000</v>
      </c>
      <c r="P8" s="270">
        <v>640</v>
      </c>
      <c r="Q8" s="99">
        <f t="shared" si="2"/>
        <v>0</v>
      </c>
      <c r="R8" s="270">
        <v>640</v>
      </c>
      <c r="S8" s="99">
        <f t="shared" si="3"/>
        <v>0</v>
      </c>
      <c r="T8" s="270">
        <v>640</v>
      </c>
      <c r="U8" s="99">
        <f t="shared" si="4"/>
        <v>0</v>
      </c>
      <c r="V8" s="18"/>
      <c r="W8" s="22"/>
      <c r="X8" s="174">
        <f t="shared" si="0"/>
        <v>-360</v>
      </c>
      <c r="Y8" s="32">
        <f>X8/5</f>
        <v>-72</v>
      </c>
      <c r="Z8" s="20">
        <f t="shared" si="5"/>
        <v>5</v>
      </c>
    </row>
    <row r="9" spans="1:26" ht="15.75">
      <c r="A9" s="19">
        <v>6</v>
      </c>
      <c r="B9" s="20" t="s">
        <v>52</v>
      </c>
      <c r="C9" s="21" t="s">
        <v>19</v>
      </c>
      <c r="D9" s="20">
        <v>795.6</v>
      </c>
      <c r="E9" s="20">
        <v>1326</v>
      </c>
      <c r="F9" s="20">
        <v>795.6</v>
      </c>
      <c r="G9" s="20">
        <v>1326</v>
      </c>
      <c r="H9" s="20">
        <v>795.6</v>
      </c>
      <c r="I9" s="20">
        <v>1326</v>
      </c>
      <c r="J9" s="20">
        <v>795.6</v>
      </c>
      <c r="K9" s="20">
        <v>1326</v>
      </c>
      <c r="L9" s="20">
        <v>795.6</v>
      </c>
      <c r="M9" s="20">
        <v>1326</v>
      </c>
      <c r="N9" s="20">
        <v>795.6</v>
      </c>
      <c r="O9" s="99">
        <f t="shared" si="1"/>
        <v>0</v>
      </c>
      <c r="P9" s="20">
        <v>795.6</v>
      </c>
      <c r="Q9" s="99">
        <f t="shared" si="2"/>
        <v>0</v>
      </c>
      <c r="R9" s="20">
        <v>795.6</v>
      </c>
      <c r="S9" s="99">
        <f t="shared" si="3"/>
        <v>0</v>
      </c>
      <c r="T9" s="20">
        <v>795.6</v>
      </c>
      <c r="U9" s="99">
        <f t="shared" si="4"/>
        <v>0</v>
      </c>
      <c r="V9" s="18"/>
      <c r="W9" s="22"/>
      <c r="X9" s="31">
        <f t="shared" si="0"/>
        <v>795.6</v>
      </c>
      <c r="Y9" s="32">
        <f>X9/0.6</f>
        <v>1326</v>
      </c>
      <c r="Z9" s="20">
        <f t="shared" si="5"/>
        <v>0.6</v>
      </c>
    </row>
    <row r="10" spans="1:26" ht="15.75">
      <c r="A10" s="19">
        <v>7</v>
      </c>
      <c r="B10" s="20" t="s">
        <v>52</v>
      </c>
      <c r="C10" s="24" t="s">
        <v>20</v>
      </c>
      <c r="D10" s="99">
        <v>-10</v>
      </c>
      <c r="E10" s="99">
        <v>4</v>
      </c>
      <c r="F10" s="99">
        <v>-10</v>
      </c>
      <c r="G10" s="99">
        <v>4</v>
      </c>
      <c r="H10" s="99">
        <v>-10</v>
      </c>
      <c r="I10" s="99">
        <v>4</v>
      </c>
      <c r="J10" s="99">
        <v>-10</v>
      </c>
      <c r="K10" s="99">
        <v>4</v>
      </c>
      <c r="L10" s="99">
        <v>-10</v>
      </c>
      <c r="M10" s="99">
        <v>4</v>
      </c>
      <c r="N10" s="99">
        <v>-10</v>
      </c>
      <c r="O10" s="99">
        <f t="shared" si="1"/>
        <v>0</v>
      </c>
      <c r="P10" s="99">
        <v>-10</v>
      </c>
      <c r="Q10" s="99">
        <f t="shared" si="2"/>
        <v>0</v>
      </c>
      <c r="R10" s="99">
        <v>-10</v>
      </c>
      <c r="S10" s="99">
        <f t="shared" si="3"/>
        <v>0</v>
      </c>
      <c r="T10" s="99">
        <v>-10</v>
      </c>
      <c r="U10" s="99">
        <f t="shared" si="4"/>
        <v>0</v>
      </c>
      <c r="V10" s="18"/>
      <c r="W10" s="22"/>
      <c r="X10" s="174">
        <f t="shared" si="0"/>
        <v>-10</v>
      </c>
      <c r="Y10" s="32">
        <f>X10/5</f>
        <v>-2</v>
      </c>
      <c r="Z10" s="20">
        <f t="shared" si="5"/>
        <v>5</v>
      </c>
    </row>
    <row r="11" spans="1:26" ht="15.75">
      <c r="A11" s="19">
        <v>8</v>
      </c>
      <c r="B11" s="20" t="s">
        <v>52</v>
      </c>
      <c r="C11" s="24" t="s">
        <v>22</v>
      </c>
      <c r="D11" s="20">
        <v>245.25</v>
      </c>
      <c r="E11" s="20">
        <v>49</v>
      </c>
      <c r="F11" s="20">
        <v>245.25</v>
      </c>
      <c r="G11" s="20">
        <v>49</v>
      </c>
      <c r="H11" s="20">
        <v>245.25</v>
      </c>
      <c r="I11" s="20">
        <v>49</v>
      </c>
      <c r="J11" s="20">
        <v>245.25</v>
      </c>
      <c r="K11" s="20">
        <v>49</v>
      </c>
      <c r="L11" s="20">
        <v>245.25</v>
      </c>
      <c r="M11" s="20">
        <v>49</v>
      </c>
      <c r="N11" s="20">
        <v>245.25</v>
      </c>
      <c r="O11" s="99">
        <f t="shared" si="1"/>
        <v>0</v>
      </c>
      <c r="P11" s="20">
        <v>245.25</v>
      </c>
      <c r="Q11" s="99">
        <f t="shared" si="2"/>
        <v>0</v>
      </c>
      <c r="R11" s="20">
        <v>245.25</v>
      </c>
      <c r="S11" s="99">
        <f t="shared" si="3"/>
        <v>0</v>
      </c>
      <c r="T11" s="20">
        <v>245.25</v>
      </c>
      <c r="U11" s="99">
        <f t="shared" si="4"/>
        <v>0</v>
      </c>
      <c r="V11" s="18"/>
      <c r="W11" s="22"/>
      <c r="X11" s="31">
        <f t="shared" si="0"/>
        <v>245.25</v>
      </c>
      <c r="Y11" s="32">
        <f>X11/5</f>
        <v>49.05</v>
      </c>
      <c r="Z11" s="20">
        <f t="shared" si="5"/>
        <v>5</v>
      </c>
    </row>
    <row r="12" spans="1:26" ht="15.75">
      <c r="A12" s="19">
        <v>9</v>
      </c>
      <c r="B12" s="20" t="s">
        <v>52</v>
      </c>
      <c r="C12" s="24" t="s">
        <v>23</v>
      </c>
      <c r="D12" s="20">
        <v>79.2</v>
      </c>
      <c r="E12" s="20">
        <v>99</v>
      </c>
      <c r="F12" s="20">
        <v>79.2</v>
      </c>
      <c r="G12" s="20">
        <v>99</v>
      </c>
      <c r="H12" s="20">
        <v>79.2</v>
      </c>
      <c r="I12" s="20">
        <v>99</v>
      </c>
      <c r="J12" s="20">
        <v>79.2</v>
      </c>
      <c r="K12" s="20">
        <v>99</v>
      </c>
      <c r="L12" s="20">
        <v>79.2</v>
      </c>
      <c r="M12" s="20">
        <v>99</v>
      </c>
      <c r="N12" s="20">
        <v>79.2</v>
      </c>
      <c r="O12" s="99">
        <f t="shared" si="1"/>
        <v>0</v>
      </c>
      <c r="P12" s="20">
        <v>79.2</v>
      </c>
      <c r="Q12" s="99">
        <f t="shared" si="2"/>
        <v>0</v>
      </c>
      <c r="R12" s="20">
        <v>79.2</v>
      </c>
      <c r="S12" s="99">
        <f t="shared" si="3"/>
        <v>0</v>
      </c>
      <c r="T12" s="20">
        <v>79.2</v>
      </c>
      <c r="U12" s="99">
        <f t="shared" si="4"/>
        <v>0</v>
      </c>
      <c r="V12" s="18"/>
      <c r="W12" s="22"/>
      <c r="X12" s="31">
        <f t="shared" si="0"/>
        <v>79.2</v>
      </c>
      <c r="Y12" s="32">
        <f>X12/0.8</f>
        <v>99</v>
      </c>
      <c r="Z12" s="20">
        <f t="shared" si="5"/>
        <v>0.8</v>
      </c>
    </row>
    <row r="13" spans="1:26" ht="15.75">
      <c r="A13" s="19">
        <v>10</v>
      </c>
      <c r="B13" s="20" t="s">
        <v>52</v>
      </c>
      <c r="C13" s="24" t="s">
        <v>25</v>
      </c>
      <c r="D13" s="99">
        <v>-2034.5</v>
      </c>
      <c r="E13" s="99">
        <v>0</v>
      </c>
      <c r="F13" s="99">
        <v>-2034.5</v>
      </c>
      <c r="G13" s="99">
        <v>0</v>
      </c>
      <c r="H13" s="99">
        <v>-2034.5</v>
      </c>
      <c r="I13" s="99">
        <v>0</v>
      </c>
      <c r="J13" s="99">
        <v>-2034.5</v>
      </c>
      <c r="K13" s="99">
        <v>0</v>
      </c>
      <c r="L13" s="99">
        <v>-2034.5</v>
      </c>
      <c r="M13" s="99">
        <v>0</v>
      </c>
      <c r="N13" s="270">
        <v>15.5</v>
      </c>
      <c r="O13" s="99">
        <f t="shared" si="1"/>
        <v>-2050</v>
      </c>
      <c r="P13" s="270">
        <v>15.5</v>
      </c>
      <c r="Q13" s="99">
        <f t="shared" si="2"/>
        <v>0</v>
      </c>
      <c r="R13" s="270">
        <v>15.5</v>
      </c>
      <c r="S13" s="99">
        <f t="shared" si="3"/>
        <v>0</v>
      </c>
      <c r="T13" s="270">
        <v>15.5</v>
      </c>
      <c r="U13" s="99">
        <f t="shared" si="4"/>
        <v>0</v>
      </c>
      <c r="V13" s="18"/>
      <c r="W13" s="22"/>
      <c r="X13" s="174">
        <f t="shared" si="0"/>
        <v>-2034.5</v>
      </c>
      <c r="Y13" s="32">
        <v>0</v>
      </c>
      <c r="Z13" s="20">
        <v>0</v>
      </c>
    </row>
    <row r="14" spans="1:26" ht="15.75">
      <c r="A14" s="19">
        <v>11</v>
      </c>
      <c r="B14" s="20" t="s">
        <v>52</v>
      </c>
      <c r="C14" s="24" t="s">
        <v>26</v>
      </c>
      <c r="D14" s="20">
        <v>31.09</v>
      </c>
      <c r="E14" s="20">
        <v>0</v>
      </c>
      <c r="F14" s="20">
        <v>31.09</v>
      </c>
      <c r="G14" s="20">
        <v>0</v>
      </c>
      <c r="H14" s="20">
        <v>31.09</v>
      </c>
      <c r="I14" s="20">
        <v>0</v>
      </c>
      <c r="J14" s="20">
        <v>31.09</v>
      </c>
      <c r="K14" s="20">
        <v>0</v>
      </c>
      <c r="L14" s="20">
        <v>31.09</v>
      </c>
      <c r="M14" s="20">
        <v>0</v>
      </c>
      <c r="N14" s="20">
        <v>31.09</v>
      </c>
      <c r="O14" s="99">
        <f t="shared" si="1"/>
        <v>0</v>
      </c>
      <c r="P14" s="20">
        <v>31.09</v>
      </c>
      <c r="Q14" s="99">
        <f t="shared" si="2"/>
        <v>0</v>
      </c>
      <c r="R14" s="20">
        <v>31.09</v>
      </c>
      <c r="S14" s="99">
        <f t="shared" si="3"/>
        <v>0</v>
      </c>
      <c r="T14" s="20">
        <v>31.09</v>
      </c>
      <c r="U14" s="99">
        <f t="shared" si="4"/>
        <v>0</v>
      </c>
      <c r="V14" s="18"/>
      <c r="W14" s="22"/>
      <c r="X14" s="31">
        <f t="shared" si="0"/>
        <v>31.09</v>
      </c>
      <c r="Y14" s="32">
        <v>0</v>
      </c>
      <c r="Z14" s="20">
        <v>0</v>
      </c>
    </row>
    <row r="15" spans="1:26" ht="15.75">
      <c r="A15" s="19">
        <v>12</v>
      </c>
      <c r="B15" s="20" t="s">
        <v>52</v>
      </c>
      <c r="C15" s="21" t="s">
        <v>27</v>
      </c>
      <c r="D15" s="20">
        <v>15</v>
      </c>
      <c r="E15" s="20">
        <v>0</v>
      </c>
      <c r="F15" s="20">
        <v>15</v>
      </c>
      <c r="G15" s="20">
        <v>0</v>
      </c>
      <c r="H15" s="20">
        <v>15</v>
      </c>
      <c r="I15" s="20">
        <v>0</v>
      </c>
      <c r="J15" s="20">
        <v>15</v>
      </c>
      <c r="K15" s="20">
        <v>0</v>
      </c>
      <c r="L15" s="20">
        <v>15</v>
      </c>
      <c r="M15" s="20">
        <v>0</v>
      </c>
      <c r="N15" s="20">
        <v>15</v>
      </c>
      <c r="O15" s="99">
        <f t="shared" si="1"/>
        <v>0</v>
      </c>
      <c r="P15" s="20">
        <v>15</v>
      </c>
      <c r="Q15" s="99">
        <f t="shared" si="2"/>
        <v>0</v>
      </c>
      <c r="R15" s="20">
        <v>15</v>
      </c>
      <c r="S15" s="99">
        <f t="shared" si="3"/>
        <v>0</v>
      </c>
      <c r="T15" s="20">
        <v>15</v>
      </c>
      <c r="U15" s="99">
        <f t="shared" si="4"/>
        <v>0</v>
      </c>
      <c r="V15" s="18"/>
      <c r="W15" s="22"/>
      <c r="X15" s="31">
        <f t="shared" si="0"/>
        <v>15</v>
      </c>
      <c r="Y15" s="32">
        <v>0</v>
      </c>
      <c r="Z15" s="20">
        <v>0</v>
      </c>
    </row>
    <row r="16" spans="1:26" ht="15.75">
      <c r="A16" s="19">
        <v>13</v>
      </c>
      <c r="B16" s="20" t="s">
        <v>52</v>
      </c>
      <c r="C16" s="25" t="s">
        <v>28</v>
      </c>
      <c r="D16" s="99">
        <v>-1439</v>
      </c>
      <c r="E16" s="99">
        <v>-84</v>
      </c>
      <c r="F16" s="99">
        <v>-1439</v>
      </c>
      <c r="G16" s="99">
        <v>-84</v>
      </c>
      <c r="H16" s="99">
        <v>-1439</v>
      </c>
      <c r="I16" s="99">
        <v>-84</v>
      </c>
      <c r="J16" s="99">
        <v>-1439</v>
      </c>
      <c r="K16" s="99">
        <v>-84</v>
      </c>
      <c r="L16" s="99">
        <v>-1439</v>
      </c>
      <c r="M16" s="99">
        <v>-84</v>
      </c>
      <c r="N16" s="99">
        <v>-1439</v>
      </c>
      <c r="O16" s="99">
        <f t="shared" si="1"/>
        <v>0</v>
      </c>
      <c r="P16" s="99">
        <v>-1439</v>
      </c>
      <c r="Q16" s="99">
        <f t="shared" si="2"/>
        <v>0</v>
      </c>
      <c r="R16" s="99">
        <v>-1439</v>
      </c>
      <c r="S16" s="99">
        <f t="shared" si="3"/>
        <v>0</v>
      </c>
      <c r="T16" s="99">
        <v>-1439</v>
      </c>
      <c r="U16" s="99">
        <f t="shared" si="4"/>
        <v>0</v>
      </c>
      <c r="V16" s="18"/>
      <c r="W16" s="22"/>
      <c r="X16" s="174">
        <f t="shared" si="0"/>
        <v>-1439</v>
      </c>
      <c r="Y16" s="32">
        <f>X16/17</f>
        <v>-84.647058823529406</v>
      </c>
      <c r="Z16" s="20">
        <f>X16/Y16</f>
        <v>17</v>
      </c>
    </row>
    <row r="17" spans="1:26" ht="15.75">
      <c r="A17" s="19">
        <v>14</v>
      </c>
      <c r="B17" s="20" t="s">
        <v>52</v>
      </c>
      <c r="C17" s="25" t="s">
        <v>29</v>
      </c>
      <c r="D17" s="20">
        <v>198</v>
      </c>
      <c r="E17" s="20">
        <v>11</v>
      </c>
      <c r="F17" s="20">
        <v>198</v>
      </c>
      <c r="G17" s="20">
        <v>11</v>
      </c>
      <c r="H17" s="20">
        <v>198</v>
      </c>
      <c r="I17" s="20">
        <v>11</v>
      </c>
      <c r="J17" s="20">
        <v>198</v>
      </c>
      <c r="K17" s="20">
        <v>11</v>
      </c>
      <c r="L17" s="20">
        <v>198</v>
      </c>
      <c r="M17" s="20">
        <v>11</v>
      </c>
      <c r="N17" s="20">
        <v>198</v>
      </c>
      <c r="O17" s="99">
        <f t="shared" si="1"/>
        <v>0</v>
      </c>
      <c r="P17" s="20">
        <v>198</v>
      </c>
      <c r="Q17" s="99">
        <f t="shared" si="2"/>
        <v>0</v>
      </c>
      <c r="R17" s="20">
        <v>198</v>
      </c>
      <c r="S17" s="99">
        <f t="shared" si="3"/>
        <v>0</v>
      </c>
      <c r="T17" s="20">
        <v>198</v>
      </c>
      <c r="U17" s="99">
        <f t="shared" si="4"/>
        <v>0</v>
      </c>
      <c r="V17" s="18"/>
      <c r="W17" s="22"/>
      <c r="X17" s="31">
        <f t="shared" si="0"/>
        <v>198</v>
      </c>
      <c r="Y17" s="32">
        <f>X17/17</f>
        <v>11.647058823529411</v>
      </c>
      <c r="Z17" s="20">
        <v>0</v>
      </c>
    </row>
    <row r="18" spans="1:26" ht="15.75">
      <c r="A18" s="19">
        <v>15</v>
      </c>
      <c r="B18" s="20" t="s">
        <v>52</v>
      </c>
      <c r="C18" s="25" t="s">
        <v>30</v>
      </c>
      <c r="D18" s="20">
        <v>3983.89</v>
      </c>
      <c r="E18" s="20">
        <v>0</v>
      </c>
      <c r="F18" s="20">
        <v>3983.89</v>
      </c>
      <c r="G18" s="20">
        <v>0</v>
      </c>
      <c r="H18" s="20">
        <v>3983.89</v>
      </c>
      <c r="I18" s="20">
        <v>0</v>
      </c>
      <c r="J18" s="20">
        <v>3983.89</v>
      </c>
      <c r="K18" s="20">
        <v>0</v>
      </c>
      <c r="L18" s="20">
        <v>3983.89</v>
      </c>
      <c r="M18" s="20">
        <v>0</v>
      </c>
      <c r="N18" s="20">
        <v>3908.89</v>
      </c>
      <c r="O18" s="99">
        <f t="shared" si="1"/>
        <v>75</v>
      </c>
      <c r="P18" s="20">
        <v>3908.89</v>
      </c>
      <c r="Q18" s="99">
        <f t="shared" si="2"/>
        <v>0</v>
      </c>
      <c r="R18" s="20">
        <v>3908.89</v>
      </c>
      <c r="S18" s="99">
        <f t="shared" si="3"/>
        <v>0</v>
      </c>
      <c r="T18" s="20">
        <v>3908.89</v>
      </c>
      <c r="U18" s="99">
        <f t="shared" si="4"/>
        <v>0</v>
      </c>
      <c r="V18" s="18"/>
      <c r="W18" s="22"/>
      <c r="X18" s="31">
        <f t="shared" si="0"/>
        <v>3983.89</v>
      </c>
      <c r="Y18" s="32">
        <v>0</v>
      </c>
      <c r="Z18" s="20">
        <v>0</v>
      </c>
    </row>
    <row r="19" spans="1:26" ht="15.75">
      <c r="A19" s="19">
        <v>16</v>
      </c>
      <c r="B19" s="20" t="s">
        <v>52</v>
      </c>
      <c r="C19" s="25" t="s">
        <v>31</v>
      </c>
      <c r="D19" s="99">
        <v>-153.30000000000001</v>
      </c>
      <c r="E19" s="99">
        <v>0</v>
      </c>
      <c r="F19" s="99">
        <v>-153.30000000000001</v>
      </c>
      <c r="G19" s="99">
        <v>0</v>
      </c>
      <c r="H19" s="99">
        <v>-153.30000000000001</v>
      </c>
      <c r="I19" s="99">
        <v>0</v>
      </c>
      <c r="J19" s="99">
        <v>-153.30000000000001</v>
      </c>
      <c r="K19" s="99">
        <v>0</v>
      </c>
      <c r="L19" s="99">
        <v>-153.30000000000001</v>
      </c>
      <c r="M19" s="99">
        <v>0</v>
      </c>
      <c r="N19" s="99">
        <v>-153.30000000000001</v>
      </c>
      <c r="O19" s="99">
        <f t="shared" si="1"/>
        <v>0</v>
      </c>
      <c r="P19" s="99">
        <v>-153.30000000000001</v>
      </c>
      <c r="Q19" s="99">
        <f t="shared" si="2"/>
        <v>0</v>
      </c>
      <c r="R19" s="99">
        <v>-153.30000000000001</v>
      </c>
      <c r="S19" s="99">
        <f t="shared" si="3"/>
        <v>0</v>
      </c>
      <c r="T19" s="99">
        <v>-153.30000000000001</v>
      </c>
      <c r="U19" s="99">
        <f t="shared" si="4"/>
        <v>0</v>
      </c>
      <c r="V19" s="18"/>
      <c r="W19" s="22"/>
      <c r="X19" s="174">
        <f t="shared" si="0"/>
        <v>-153.30000000000001</v>
      </c>
      <c r="Y19" s="32">
        <v>0</v>
      </c>
      <c r="Z19" s="20">
        <v>0</v>
      </c>
    </row>
    <row r="20" spans="1:26" ht="15.75">
      <c r="A20" s="19">
        <v>17</v>
      </c>
      <c r="B20" s="20" t="s">
        <v>52</v>
      </c>
      <c r="C20" s="25" t="s">
        <v>32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99">
        <f t="shared" si="1"/>
        <v>0</v>
      </c>
      <c r="P20" s="20">
        <v>0</v>
      </c>
      <c r="Q20" s="99">
        <f t="shared" si="2"/>
        <v>0</v>
      </c>
      <c r="R20" s="20">
        <v>0</v>
      </c>
      <c r="S20" s="99">
        <f t="shared" si="3"/>
        <v>0</v>
      </c>
      <c r="T20" s="20">
        <v>0</v>
      </c>
      <c r="U20" s="99">
        <f t="shared" si="4"/>
        <v>0</v>
      </c>
      <c r="V20" s="18"/>
      <c r="W20" s="22"/>
      <c r="X20" s="31">
        <f t="shared" si="0"/>
        <v>0</v>
      </c>
      <c r="Y20" s="32">
        <v>0</v>
      </c>
      <c r="Z20" s="20">
        <v>0</v>
      </c>
    </row>
    <row r="21" spans="1:26" ht="15.75">
      <c r="A21" s="19">
        <v>18</v>
      </c>
      <c r="B21" s="20" t="s">
        <v>52</v>
      </c>
      <c r="C21" s="25" t="s">
        <v>33</v>
      </c>
      <c r="D21" s="20">
        <v>361.51</v>
      </c>
      <c r="E21" s="20">
        <v>0</v>
      </c>
      <c r="F21" s="20">
        <v>361.51</v>
      </c>
      <c r="G21" s="20">
        <v>0</v>
      </c>
      <c r="H21" s="20">
        <v>361.51</v>
      </c>
      <c r="I21" s="20">
        <v>0</v>
      </c>
      <c r="J21" s="20">
        <v>361.51</v>
      </c>
      <c r="K21" s="20">
        <v>0</v>
      </c>
      <c r="L21" s="20">
        <v>361.51</v>
      </c>
      <c r="M21" s="20">
        <v>0</v>
      </c>
      <c r="N21" s="20">
        <v>386.51</v>
      </c>
      <c r="O21" s="99">
        <f t="shared" si="1"/>
        <v>-25</v>
      </c>
      <c r="P21" s="20">
        <v>386.51</v>
      </c>
      <c r="Q21" s="99">
        <f t="shared" si="2"/>
        <v>0</v>
      </c>
      <c r="R21" s="20">
        <v>386.51</v>
      </c>
      <c r="S21" s="99">
        <f t="shared" si="3"/>
        <v>0</v>
      </c>
      <c r="T21" s="20">
        <v>386.51</v>
      </c>
      <c r="U21" s="99">
        <f t="shared" si="4"/>
        <v>0</v>
      </c>
      <c r="V21" s="18"/>
      <c r="W21" s="22"/>
      <c r="X21" s="31">
        <f t="shared" si="0"/>
        <v>361.51</v>
      </c>
      <c r="Y21" s="32">
        <v>0</v>
      </c>
      <c r="Z21" s="20">
        <v>0</v>
      </c>
    </row>
    <row r="22" spans="1:26" ht="15.75">
      <c r="A22" s="19">
        <v>19</v>
      </c>
      <c r="B22" s="20" t="s">
        <v>52</v>
      </c>
      <c r="C22" s="25" t="s">
        <v>34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99">
        <f t="shared" si="1"/>
        <v>0</v>
      </c>
      <c r="P22" s="20">
        <v>0</v>
      </c>
      <c r="Q22" s="99">
        <f t="shared" si="2"/>
        <v>0</v>
      </c>
      <c r="R22" s="20">
        <v>0</v>
      </c>
      <c r="S22" s="99">
        <f t="shared" si="3"/>
        <v>0</v>
      </c>
      <c r="T22" s="20">
        <v>0</v>
      </c>
      <c r="U22" s="99">
        <f t="shared" si="4"/>
        <v>0</v>
      </c>
      <c r="V22" s="18"/>
      <c r="W22" s="22"/>
      <c r="X22" s="31">
        <f t="shared" si="0"/>
        <v>0</v>
      </c>
      <c r="Y22" s="32">
        <v>0</v>
      </c>
      <c r="Z22" s="20">
        <v>0</v>
      </c>
    </row>
    <row r="23" spans="1:26" ht="15.75">
      <c r="A23" s="19">
        <v>20</v>
      </c>
      <c r="B23" s="20" t="s">
        <v>52</v>
      </c>
      <c r="C23" s="25" t="s">
        <v>35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99">
        <f t="shared" si="1"/>
        <v>0</v>
      </c>
      <c r="P23" s="20">
        <v>0</v>
      </c>
      <c r="Q23" s="99">
        <f t="shared" si="2"/>
        <v>0</v>
      </c>
      <c r="R23" s="20">
        <v>0</v>
      </c>
      <c r="S23" s="99">
        <f t="shared" si="3"/>
        <v>0</v>
      </c>
      <c r="T23" s="20">
        <v>0</v>
      </c>
      <c r="U23" s="99">
        <f t="shared" si="4"/>
        <v>0</v>
      </c>
      <c r="V23" s="18"/>
      <c r="W23" s="22"/>
      <c r="X23" s="31">
        <f t="shared" si="0"/>
        <v>0</v>
      </c>
      <c r="Y23" s="32">
        <v>0</v>
      </c>
      <c r="Z23" s="20">
        <v>0</v>
      </c>
    </row>
    <row r="24" spans="1:26" ht="15.75">
      <c r="A24" s="19">
        <v>21</v>
      </c>
      <c r="B24" s="20" t="s">
        <v>52</v>
      </c>
      <c r="C24" s="25" t="s">
        <v>36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99">
        <f t="shared" si="1"/>
        <v>0</v>
      </c>
      <c r="P24" s="20">
        <v>0</v>
      </c>
      <c r="Q24" s="99">
        <f t="shared" si="2"/>
        <v>0</v>
      </c>
      <c r="R24" s="20">
        <v>0</v>
      </c>
      <c r="S24" s="99">
        <f t="shared" si="3"/>
        <v>0</v>
      </c>
      <c r="T24" s="20">
        <v>0</v>
      </c>
      <c r="U24" s="99">
        <f t="shared" si="4"/>
        <v>0</v>
      </c>
      <c r="V24" s="18"/>
      <c r="W24" s="22"/>
      <c r="X24" s="31">
        <f t="shared" si="0"/>
        <v>0</v>
      </c>
      <c r="Y24" s="32">
        <v>0</v>
      </c>
      <c r="Z24" s="20">
        <v>0</v>
      </c>
    </row>
    <row r="25" spans="1:26" ht="15.75">
      <c r="A25" s="19">
        <v>22</v>
      </c>
      <c r="B25" s="20" t="s">
        <v>52</v>
      </c>
      <c r="C25" s="25" t="s">
        <v>37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99">
        <f t="shared" si="1"/>
        <v>0</v>
      </c>
      <c r="P25" s="20">
        <v>0</v>
      </c>
      <c r="Q25" s="99">
        <f t="shared" si="2"/>
        <v>0</v>
      </c>
      <c r="R25" s="20">
        <v>0</v>
      </c>
      <c r="S25" s="99">
        <f t="shared" si="3"/>
        <v>0</v>
      </c>
      <c r="T25" s="20">
        <v>0</v>
      </c>
      <c r="U25" s="99">
        <f t="shared" si="4"/>
        <v>0</v>
      </c>
      <c r="V25" s="18"/>
      <c r="W25" s="22"/>
      <c r="X25" s="31">
        <f t="shared" si="0"/>
        <v>0</v>
      </c>
      <c r="Y25" s="32">
        <v>0</v>
      </c>
      <c r="Z25" s="20">
        <v>0</v>
      </c>
    </row>
    <row r="26" spans="1:26" ht="15.75">
      <c r="A26" s="19">
        <v>23</v>
      </c>
      <c r="B26" s="20" t="s">
        <v>52</v>
      </c>
      <c r="C26" s="21" t="s">
        <v>38</v>
      </c>
      <c r="D26" s="20">
        <f>E26*1.4</f>
        <v>93.8</v>
      </c>
      <c r="E26" s="20">
        <v>67</v>
      </c>
      <c r="F26" s="20">
        <v>0</v>
      </c>
      <c r="G26" s="20">
        <v>67</v>
      </c>
      <c r="H26" s="20">
        <v>0</v>
      </c>
      <c r="I26" s="20">
        <v>67</v>
      </c>
      <c r="J26" s="20">
        <v>0</v>
      </c>
      <c r="K26" s="20">
        <v>67</v>
      </c>
      <c r="L26" s="20">
        <v>0</v>
      </c>
      <c r="M26" s="20">
        <v>67</v>
      </c>
      <c r="N26" s="20">
        <v>93.8</v>
      </c>
      <c r="O26" s="99">
        <f>L26-N26</f>
        <v>-93.8</v>
      </c>
      <c r="P26" s="20">
        <v>93.8</v>
      </c>
      <c r="Q26" s="99">
        <f>N26-P26</f>
        <v>0</v>
      </c>
      <c r="R26" s="20">
        <v>93.8</v>
      </c>
      <c r="S26" s="99">
        <f>P26-R26</f>
        <v>0</v>
      </c>
      <c r="T26" s="20">
        <v>93.8</v>
      </c>
      <c r="U26" s="99">
        <f>R26-T26</f>
        <v>0</v>
      </c>
      <c r="V26" s="18"/>
      <c r="W26" s="22"/>
      <c r="X26" s="31">
        <f t="shared" si="0"/>
        <v>0</v>
      </c>
      <c r="Y26" s="32">
        <f t="shared" ref="Y26:Y32" si="6">X26/19</f>
        <v>0</v>
      </c>
      <c r="Z26" s="20">
        <v>0</v>
      </c>
    </row>
    <row r="27" spans="1:26" ht="15.75">
      <c r="A27" s="19">
        <v>24</v>
      </c>
      <c r="B27" s="20" t="s">
        <v>52</v>
      </c>
      <c r="C27" s="21" t="s">
        <v>39</v>
      </c>
      <c r="D27" s="99">
        <v>-37.799999999999997</v>
      </c>
      <c r="E27" s="178">
        <v>-27</v>
      </c>
      <c r="F27" s="99">
        <v>-37.799999999999997</v>
      </c>
      <c r="G27" s="178">
        <v>-27</v>
      </c>
      <c r="H27" s="99">
        <v>-37.799999999999997</v>
      </c>
      <c r="I27" s="178">
        <v>-27</v>
      </c>
      <c r="J27" s="99">
        <v>-37.799999999999997</v>
      </c>
      <c r="K27" s="178">
        <v>-27</v>
      </c>
      <c r="L27" s="99">
        <v>-37.799999999999997</v>
      </c>
      <c r="M27" s="178">
        <v>-27</v>
      </c>
      <c r="N27" s="178">
        <v>-37.799999999999997</v>
      </c>
      <c r="O27" s="99">
        <f>L27-N27</f>
        <v>0</v>
      </c>
      <c r="P27" s="178">
        <v>-37.799999999999997</v>
      </c>
      <c r="Q27" s="99">
        <f>N27-P27</f>
        <v>0</v>
      </c>
      <c r="R27" s="178">
        <v>-37.799999999999997</v>
      </c>
      <c r="S27" s="99">
        <f>P27-R27</f>
        <v>0</v>
      </c>
      <c r="T27" s="178">
        <v>-37.799999999999997</v>
      </c>
      <c r="U27" s="99">
        <f>R27-T27</f>
        <v>0</v>
      </c>
      <c r="V27" s="18"/>
      <c r="W27" s="22"/>
      <c r="X27" s="174">
        <f t="shared" si="0"/>
        <v>-37.799999999999997</v>
      </c>
      <c r="Y27" s="32">
        <f>X27/1.4</f>
        <v>-27</v>
      </c>
      <c r="Z27" s="20">
        <v>0</v>
      </c>
    </row>
    <row r="28" spans="1:26" ht="15.75">
      <c r="A28" s="19">
        <v>25</v>
      </c>
      <c r="B28" s="20" t="s">
        <v>52</v>
      </c>
      <c r="C28" s="21" t="s">
        <v>40</v>
      </c>
      <c r="D28" s="101">
        <f>E28*0.4</f>
        <v>114</v>
      </c>
      <c r="E28" s="27">
        <v>285</v>
      </c>
      <c r="F28" s="27">
        <f>G28*0.4</f>
        <v>114</v>
      </c>
      <c r="G28" s="27">
        <v>285</v>
      </c>
      <c r="H28" s="27">
        <f>I28*0.4</f>
        <v>114</v>
      </c>
      <c r="I28" s="27">
        <v>285</v>
      </c>
      <c r="J28" s="27">
        <f>K28*0.4</f>
        <v>114</v>
      </c>
      <c r="K28" s="27">
        <v>285</v>
      </c>
      <c r="L28" s="27">
        <f>M28*0.4</f>
        <v>114</v>
      </c>
      <c r="M28" s="27">
        <v>285</v>
      </c>
      <c r="N28" s="27">
        <v>114</v>
      </c>
      <c r="O28" s="99">
        <f t="shared" si="1"/>
        <v>0</v>
      </c>
      <c r="P28" s="27">
        <v>114</v>
      </c>
      <c r="Q28" s="99">
        <f t="shared" ref="Q28:Q31" si="7">N28-P28</f>
        <v>0</v>
      </c>
      <c r="R28" s="27">
        <v>114</v>
      </c>
      <c r="S28" s="99">
        <f t="shared" ref="S28:S31" si="8">P28-R28</f>
        <v>0</v>
      </c>
      <c r="T28" s="27">
        <v>114</v>
      </c>
      <c r="U28" s="99">
        <f t="shared" ref="U28:U31" si="9">R28-T28</f>
        <v>0</v>
      </c>
      <c r="V28" s="18"/>
      <c r="W28" s="22"/>
      <c r="X28" s="31">
        <f t="shared" si="0"/>
        <v>114</v>
      </c>
      <c r="Y28" s="32">
        <f>X28/0.4</f>
        <v>285</v>
      </c>
      <c r="Z28" s="20">
        <v>0</v>
      </c>
    </row>
    <row r="29" spans="1:26" ht="15.75">
      <c r="A29" s="19">
        <v>26</v>
      </c>
      <c r="B29" s="20" t="s">
        <v>52</v>
      </c>
      <c r="C29" s="21" t="s">
        <v>41</v>
      </c>
      <c r="D29" s="27">
        <v>0</v>
      </c>
      <c r="E29" s="27">
        <v>7500</v>
      </c>
      <c r="F29" s="27">
        <v>0</v>
      </c>
      <c r="G29" s="27">
        <v>7500</v>
      </c>
      <c r="H29" s="27">
        <v>0</v>
      </c>
      <c r="I29" s="27">
        <v>7500</v>
      </c>
      <c r="J29" s="27">
        <v>0</v>
      </c>
      <c r="K29" s="27">
        <v>7500</v>
      </c>
      <c r="L29" s="27">
        <v>0</v>
      </c>
      <c r="M29" s="27">
        <v>7500</v>
      </c>
      <c r="N29" s="27">
        <v>0</v>
      </c>
      <c r="O29" s="99">
        <f t="shared" si="1"/>
        <v>0</v>
      </c>
      <c r="P29" s="27">
        <v>0</v>
      </c>
      <c r="Q29" s="99">
        <f t="shared" si="7"/>
        <v>0</v>
      </c>
      <c r="R29" s="27">
        <v>0</v>
      </c>
      <c r="S29" s="99">
        <f t="shared" si="8"/>
        <v>0</v>
      </c>
      <c r="T29" s="27">
        <v>0</v>
      </c>
      <c r="U29" s="99">
        <f t="shared" si="9"/>
        <v>0</v>
      </c>
      <c r="V29" s="18"/>
      <c r="W29" s="29"/>
      <c r="X29" s="31">
        <f t="shared" si="0"/>
        <v>0</v>
      </c>
      <c r="Y29" s="32">
        <f t="shared" si="6"/>
        <v>0</v>
      </c>
      <c r="Z29" s="20">
        <v>0</v>
      </c>
    </row>
    <row r="30" spans="1:26" ht="15.75">
      <c r="A30" s="19">
        <v>27</v>
      </c>
      <c r="B30" s="20" t="s">
        <v>52</v>
      </c>
      <c r="C30" s="21" t="s">
        <v>42</v>
      </c>
      <c r="D30" s="111">
        <v>782.4</v>
      </c>
      <c r="E30" s="27">
        <v>1304</v>
      </c>
      <c r="F30" s="27">
        <v>782.4</v>
      </c>
      <c r="G30" s="27">
        <v>1304</v>
      </c>
      <c r="H30" s="27">
        <v>782.4</v>
      </c>
      <c r="I30" s="27">
        <v>1304</v>
      </c>
      <c r="J30" s="27">
        <v>782.4</v>
      </c>
      <c r="K30" s="27">
        <v>1304</v>
      </c>
      <c r="L30" s="27">
        <v>782.4</v>
      </c>
      <c r="M30" s="27">
        <v>1304</v>
      </c>
      <c r="N30" s="27">
        <v>782.4</v>
      </c>
      <c r="O30" s="99">
        <f t="shared" si="1"/>
        <v>0</v>
      </c>
      <c r="P30" s="27">
        <v>782.4</v>
      </c>
      <c r="Q30" s="99">
        <f t="shared" si="7"/>
        <v>0</v>
      </c>
      <c r="R30" s="27">
        <v>782.4</v>
      </c>
      <c r="S30" s="99">
        <f t="shared" si="8"/>
        <v>0</v>
      </c>
      <c r="T30" s="27">
        <v>782.4</v>
      </c>
      <c r="U30" s="99">
        <f t="shared" si="9"/>
        <v>0</v>
      </c>
      <c r="V30" s="18"/>
      <c r="W30" s="29"/>
      <c r="X30" s="31">
        <f t="shared" si="0"/>
        <v>782.4</v>
      </c>
      <c r="Y30" s="32">
        <f>X30/0.6</f>
        <v>1304</v>
      </c>
      <c r="Z30" s="20">
        <v>0</v>
      </c>
    </row>
    <row r="31" spans="1:26" ht="15.75">
      <c r="A31" s="19">
        <v>31</v>
      </c>
      <c r="B31" s="20" t="s">
        <v>52</v>
      </c>
      <c r="C31" s="21" t="s">
        <v>43</v>
      </c>
      <c r="D31" s="27">
        <v>0</v>
      </c>
      <c r="E31" s="27">
        <v>76</v>
      </c>
      <c r="F31" s="27">
        <v>0</v>
      </c>
      <c r="G31" s="27">
        <v>76</v>
      </c>
      <c r="H31" s="27">
        <v>0</v>
      </c>
      <c r="I31" s="27">
        <v>76</v>
      </c>
      <c r="J31" s="27">
        <v>0</v>
      </c>
      <c r="K31" s="27">
        <v>76</v>
      </c>
      <c r="L31" s="27">
        <v>0</v>
      </c>
      <c r="M31" s="27">
        <v>76</v>
      </c>
      <c r="N31" s="27">
        <v>0</v>
      </c>
      <c r="O31" s="99">
        <f t="shared" si="1"/>
        <v>0</v>
      </c>
      <c r="P31" s="27">
        <v>0</v>
      </c>
      <c r="Q31" s="99">
        <f t="shared" si="7"/>
        <v>0</v>
      </c>
      <c r="R31" s="27">
        <v>0</v>
      </c>
      <c r="S31" s="99">
        <f t="shared" si="8"/>
        <v>0</v>
      </c>
      <c r="T31" s="27">
        <v>0</v>
      </c>
      <c r="U31" s="99">
        <f t="shared" si="9"/>
        <v>0</v>
      </c>
      <c r="V31" s="18"/>
      <c r="W31" s="29"/>
      <c r="X31" s="31">
        <f t="shared" si="0"/>
        <v>0</v>
      </c>
      <c r="Y31" s="32">
        <f t="shared" si="6"/>
        <v>0</v>
      </c>
      <c r="Z31" s="20">
        <v>0</v>
      </c>
    </row>
    <row r="32" spans="1:26" ht="15.75">
      <c r="A32" s="19"/>
      <c r="B32" s="20"/>
      <c r="C32" s="21" t="s">
        <v>155</v>
      </c>
      <c r="D32" s="27">
        <f>SUM(D4:D31)</f>
        <v>3873.8799999999997</v>
      </c>
      <c r="E32" s="27"/>
      <c r="F32" s="27"/>
      <c r="G32" s="27"/>
      <c r="H32" s="27">
        <f>SUM(H4:H31)</f>
        <v>3780.0799999999995</v>
      </c>
      <c r="I32" s="27"/>
      <c r="J32" s="27"/>
      <c r="K32" s="27"/>
      <c r="L32" s="27">
        <f>SUM(L4:L31)</f>
        <v>3780.0799999999995</v>
      </c>
      <c r="M32" s="27"/>
      <c r="N32" s="165">
        <f>SUM(N4:N31)</f>
        <v>6953.88</v>
      </c>
      <c r="O32" s="99"/>
      <c r="P32" s="99">
        <f>SUM(P4:P31)</f>
        <v>6953.88</v>
      </c>
      <c r="Q32" s="99"/>
      <c r="R32" s="99">
        <f>SUM(R4:R31)</f>
        <v>6953.88</v>
      </c>
      <c r="S32" s="99"/>
      <c r="T32" s="99">
        <f>SUM(T4:T31)</f>
        <v>6953.88</v>
      </c>
      <c r="U32" s="99"/>
      <c r="V32" s="18"/>
      <c r="W32" s="29"/>
      <c r="X32" s="31">
        <f>SUM(X4:X31)</f>
        <v>3780.0799999999995</v>
      </c>
      <c r="Y32" s="32">
        <f t="shared" si="6"/>
        <v>198.9515789473684</v>
      </c>
      <c r="Z32" s="20"/>
    </row>
    <row r="33" spans="1:26" ht="15.75">
      <c r="A33" s="20"/>
      <c r="B33" s="20"/>
      <c r="C33" s="179" t="s">
        <v>110</v>
      </c>
      <c r="D33" s="30">
        <f>D6+D9+D11+D12+D14+D15+D17+D18+D21+D28+D30+D26</f>
        <v>9160.24</v>
      </c>
      <c r="E33" s="30"/>
      <c r="F33" s="30">
        <f>F6+F9+F11+F12+F14+F15+F17+F18+F21+F28+F30</f>
        <v>9066.44</v>
      </c>
      <c r="G33" s="20"/>
      <c r="H33" s="30">
        <f>H6+H7+H9+H11+H12+H14+H15+H17+H18+H20+H21+H28+H30</f>
        <v>9066.44</v>
      </c>
      <c r="I33" s="20"/>
      <c r="J33" s="20"/>
      <c r="K33" s="20"/>
      <c r="L33" s="30">
        <f>L6+L9+L11+L12+L14+L15+L17+L18+L21+L28+L30</f>
        <v>9066.44</v>
      </c>
      <c r="M33" s="20"/>
      <c r="N33" s="30">
        <f>N6+N8+N9+N11+N12+N13+N14+N15+N17+N18+N21+N26+N28+N30</f>
        <v>9765.74</v>
      </c>
      <c r="O33" s="20"/>
      <c r="P33" s="30">
        <f>P6+P8+P9+P11+P12+P13+P14+P15+P17+P18+P21+P26+P28+P30</f>
        <v>9765.74</v>
      </c>
      <c r="Q33" s="20"/>
      <c r="R33" s="30">
        <f>R6+R8+R9+R11+R12+R13+R14+R15+R17+R18+R21+R26+R28+R30</f>
        <v>9765.74</v>
      </c>
      <c r="S33" s="20"/>
      <c r="T33" s="30">
        <f>T6+T7+T8+T9+T11+T12+T13+T14+T15+T17+T18+T20+T21+T26+T28+T30</f>
        <v>9765.74</v>
      </c>
      <c r="U33" s="20"/>
      <c r="V33" s="177"/>
      <c r="W33" s="31"/>
      <c r="X33" s="34">
        <f>X6+X7+X9+X11+X12+X14+X15+X17+X18+X20+X21+X28+X30</f>
        <v>9066.44</v>
      </c>
      <c r="Y33" s="32"/>
      <c r="Z33" s="28"/>
    </row>
    <row r="34" spans="1:26">
      <c r="A34" s="28"/>
      <c r="B34" s="28"/>
      <c r="C34" s="28"/>
      <c r="D34" s="103">
        <f>D4+D5+D8+D10+D13+D16+D19+D27</f>
        <v>-5286.3600000000006</v>
      </c>
      <c r="E34" s="103"/>
      <c r="F34" s="103">
        <f>F4+F5+F8+F10+F13+F16+F19+F27</f>
        <v>-5286.3600000000006</v>
      </c>
      <c r="G34" s="28"/>
      <c r="H34" s="28">
        <f>H4+H5+H8+H10+H13+H16+H19+H27</f>
        <v>-5286.3600000000006</v>
      </c>
      <c r="I34" s="28"/>
      <c r="J34" s="28"/>
      <c r="K34" s="28"/>
      <c r="L34" s="28">
        <f>L4+L5+L8+L10+L13+L16+L19+L27</f>
        <v>-5286.3600000000006</v>
      </c>
      <c r="M34" s="28"/>
      <c r="N34" s="28">
        <f>N4+N5+N10+N16+N19+N27</f>
        <v>-2811.8600000000006</v>
      </c>
      <c r="O34" s="28"/>
      <c r="P34" s="28">
        <f>P4+P5+P10+P16+P19+P27</f>
        <v>-2811.8600000000006</v>
      </c>
      <c r="Q34" s="28"/>
      <c r="R34" s="103">
        <f>R4+R5+R10+R16+R19+R27</f>
        <v>-2811.8600000000006</v>
      </c>
      <c r="S34" s="28"/>
      <c r="T34" s="103">
        <f>T4+T5+T10+T16+T19+T27</f>
        <v>-2811.8600000000006</v>
      </c>
      <c r="U34" s="28"/>
      <c r="V34" s="28"/>
      <c r="W34" s="20"/>
      <c r="X34" s="20">
        <f>X4+X5+X8+X10+X13+X16+X19+X27</f>
        <v>-5286.3600000000006</v>
      </c>
      <c r="Y34" s="28"/>
      <c r="Z34" s="28"/>
    </row>
    <row r="35" spans="1:26">
      <c r="A35" t="s">
        <v>113</v>
      </c>
      <c r="D35" s="43">
        <f>D33+D34</f>
        <v>3873.8799999999992</v>
      </c>
      <c r="E35" s="43"/>
      <c r="F35" s="43">
        <f>SUM(F33:F34)</f>
        <v>3780.08</v>
      </c>
      <c r="H35" s="43">
        <f>SUM(H33:H34)</f>
        <v>3780.08</v>
      </c>
      <c r="L35" s="240">
        <f>SUM(L33:L34)</f>
        <v>3780.08</v>
      </c>
      <c r="N35" s="240">
        <f>SUM(N33:N34)</f>
        <v>6953.8799999999992</v>
      </c>
      <c r="P35" s="240">
        <f>SUM(P33:P34)</f>
        <v>6953.8799999999992</v>
      </c>
      <c r="R35" s="240">
        <f>SUM(R33:R34)</f>
        <v>6953.8799999999992</v>
      </c>
      <c r="T35" s="240">
        <f>SUM(T33:T34)</f>
        <v>6953.8799999999992</v>
      </c>
      <c r="X35" s="36">
        <f>SUM(X33:X34)</f>
        <v>3780.08</v>
      </c>
    </row>
  </sheetData>
  <mergeCells count="10">
    <mergeCell ref="A1:Z1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25" right="0.25" top="0.75" bottom="0.75" header="0.3" footer="0.3"/>
  <pageSetup paperSize="9" scale="93" orientation="landscape" r:id="rId1"/>
  <ignoredErrors>
    <ignoredError sqref="Z7" evalError="1"/>
    <ignoredError sqref="Y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35"/>
  <sheetViews>
    <sheetView zoomScale="77" zoomScaleNormal="77" workbookViewId="0">
      <selection activeCell="T36" sqref="T36"/>
    </sheetView>
  </sheetViews>
  <sheetFormatPr defaultColWidth="9" defaultRowHeight="15"/>
  <cols>
    <col min="2" max="2" width="14.140625" customWidth="1"/>
    <col min="3" max="3" width="26" customWidth="1"/>
    <col min="4" max="4" width="14.28515625" hidden="1" customWidth="1"/>
    <col min="5" max="5" width="12.7109375" hidden="1" customWidth="1"/>
    <col min="6" max="6" width="11.7109375" hidden="1" customWidth="1"/>
    <col min="7" max="11" width="12.7109375" hidden="1" customWidth="1"/>
    <col min="12" max="17" width="14" hidden="1" customWidth="1"/>
    <col min="18" max="21" width="14" customWidth="1"/>
    <col min="22" max="22" width="12.140625" customWidth="1"/>
    <col min="23" max="23" width="13.7109375" customWidth="1"/>
    <col min="24" max="24" width="16.28515625" bestFit="1" customWidth="1"/>
    <col min="25" max="25" width="9" customWidth="1"/>
  </cols>
  <sheetData>
    <row r="1" spans="1:26" ht="21">
      <c r="A1" s="288" t="s">
        <v>112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26" ht="48" customHeight="1">
      <c r="A2" s="108"/>
      <c r="B2" s="108"/>
      <c r="C2" s="108"/>
      <c r="D2" s="289" t="s">
        <v>123</v>
      </c>
      <c r="E2" s="290"/>
      <c r="F2" s="289" t="s">
        <v>123</v>
      </c>
      <c r="G2" s="290"/>
      <c r="H2" s="289" t="s">
        <v>145</v>
      </c>
      <c r="I2" s="290"/>
      <c r="J2" s="289" t="s">
        <v>164</v>
      </c>
      <c r="K2" s="290"/>
      <c r="L2" s="289" t="s">
        <v>171</v>
      </c>
      <c r="M2" s="290"/>
      <c r="N2" s="289" t="s">
        <v>232</v>
      </c>
      <c r="O2" s="290"/>
      <c r="P2" s="289" t="s">
        <v>240</v>
      </c>
      <c r="Q2" s="290"/>
      <c r="R2" s="289" t="s">
        <v>243</v>
      </c>
      <c r="S2" s="290"/>
      <c r="T2" s="289" t="s">
        <v>247</v>
      </c>
      <c r="U2" s="290"/>
      <c r="V2" s="162" t="s">
        <v>150</v>
      </c>
      <c r="W2" s="162" t="s">
        <v>150</v>
      </c>
      <c r="X2" s="108" t="s">
        <v>153</v>
      </c>
      <c r="Y2" s="108"/>
      <c r="Z2" s="108"/>
    </row>
    <row r="3" spans="1:26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7" t="s">
        <v>4</v>
      </c>
      <c r="U3" s="17" t="s">
        <v>109</v>
      </c>
      <c r="V3" s="18" t="s">
        <v>125</v>
      </c>
      <c r="W3" s="18" t="s">
        <v>148</v>
      </c>
      <c r="X3" s="17" t="s">
        <v>10</v>
      </c>
      <c r="Y3" s="17" t="s">
        <v>11</v>
      </c>
      <c r="Z3" s="20" t="s">
        <v>12</v>
      </c>
    </row>
    <row r="4" spans="1:26" ht="15.75">
      <c r="A4" s="19">
        <v>1</v>
      </c>
      <c r="B4" s="20" t="s">
        <v>54</v>
      </c>
      <c r="C4" s="21" t="s">
        <v>14</v>
      </c>
      <c r="D4" s="99">
        <v>-293.89999999999998</v>
      </c>
      <c r="E4" s="20"/>
      <c r="F4" s="99">
        <v>-293.89999999999998</v>
      </c>
      <c r="G4" s="20">
        <v>0</v>
      </c>
      <c r="H4" s="99">
        <v>-293.89999999999998</v>
      </c>
      <c r="I4" s="20">
        <v>0</v>
      </c>
      <c r="J4" s="99">
        <v>-293.89999999999998</v>
      </c>
      <c r="K4" s="20">
        <v>0</v>
      </c>
      <c r="L4" s="99">
        <v>-293.89999999999998</v>
      </c>
      <c r="M4" s="20">
        <v>0</v>
      </c>
      <c r="N4" s="99">
        <f>-293.9</f>
        <v>-293.89999999999998</v>
      </c>
      <c r="O4" s="20">
        <v>0</v>
      </c>
      <c r="P4" s="99">
        <f>-293.9</f>
        <v>-293.89999999999998</v>
      </c>
      <c r="Q4" s="20">
        <v>0</v>
      </c>
      <c r="R4" s="99">
        <f>-293.9</f>
        <v>-293.89999999999998</v>
      </c>
      <c r="S4" s="20">
        <v>0</v>
      </c>
      <c r="T4" s="99">
        <f>-293.9</f>
        <v>-293.89999999999998</v>
      </c>
      <c r="U4" s="20">
        <v>0</v>
      </c>
      <c r="V4" s="18">
        <f>L4-N4</f>
        <v>0</v>
      </c>
      <c r="W4" s="22"/>
      <c r="X4" s="59">
        <f>(H4+V4)-W4</f>
        <v>-293.89999999999998</v>
      </c>
      <c r="Y4" s="20"/>
      <c r="Z4" s="19" t="e">
        <f>X4/Y4</f>
        <v>#DIV/0!</v>
      </c>
    </row>
    <row r="5" spans="1:26" ht="15.75">
      <c r="A5" s="19">
        <v>2</v>
      </c>
      <c r="B5" s="20" t="s">
        <v>54</v>
      </c>
      <c r="C5" s="21" t="s">
        <v>15</v>
      </c>
      <c r="D5" s="20">
        <v>0</v>
      </c>
      <c r="E5" s="19"/>
      <c r="F5" s="20">
        <v>0</v>
      </c>
      <c r="G5" s="19">
        <v>0</v>
      </c>
      <c r="H5" s="20">
        <v>0</v>
      </c>
      <c r="I5" s="19">
        <v>0</v>
      </c>
      <c r="J5" s="20">
        <v>0</v>
      </c>
      <c r="K5" s="19">
        <v>0</v>
      </c>
      <c r="L5" s="20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8">
        <f t="shared" ref="V5:V34" si="0">L5-N5</f>
        <v>0</v>
      </c>
      <c r="W5" s="23"/>
      <c r="X5" s="59">
        <f t="shared" ref="X5:X31" si="1">(H5+V5)-W5</f>
        <v>0</v>
      </c>
      <c r="Y5" s="32">
        <f>X5/19</f>
        <v>0</v>
      </c>
      <c r="Z5" s="19" t="e">
        <f t="shared" ref="Z5:Z31" si="2">X5/Y5</f>
        <v>#DIV/0!</v>
      </c>
    </row>
    <row r="6" spans="1:26" ht="15.75">
      <c r="A6" s="19">
        <v>3</v>
      </c>
      <c r="B6" s="20" t="s">
        <v>54</v>
      </c>
      <c r="C6" s="21" t="s">
        <v>16</v>
      </c>
      <c r="D6" s="20">
        <v>0</v>
      </c>
      <c r="E6" s="19"/>
      <c r="F6" s="20">
        <v>0</v>
      </c>
      <c r="G6" s="19">
        <v>0</v>
      </c>
      <c r="H6" s="20">
        <v>0</v>
      </c>
      <c r="I6" s="19">
        <v>0</v>
      </c>
      <c r="J6" s="20">
        <v>0</v>
      </c>
      <c r="K6" s="19">
        <v>0</v>
      </c>
      <c r="L6" s="20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8">
        <f t="shared" si="0"/>
        <v>0</v>
      </c>
      <c r="W6" s="23"/>
      <c r="X6" s="59">
        <f t="shared" si="1"/>
        <v>0</v>
      </c>
      <c r="Y6" s="32">
        <f>X6/37</f>
        <v>0</v>
      </c>
      <c r="Z6" s="19" t="e">
        <f t="shared" si="2"/>
        <v>#DIV/0!</v>
      </c>
    </row>
    <row r="7" spans="1:26" ht="15.75">
      <c r="A7" s="19">
        <v>4</v>
      </c>
      <c r="B7" s="20" t="s">
        <v>54</v>
      </c>
      <c r="C7" s="21" t="s">
        <v>17</v>
      </c>
      <c r="D7" s="20">
        <v>34</v>
      </c>
      <c r="E7" s="19">
        <v>2</v>
      </c>
      <c r="F7" s="20">
        <v>34</v>
      </c>
      <c r="G7" s="19">
        <v>2</v>
      </c>
      <c r="H7" s="20">
        <v>34</v>
      </c>
      <c r="I7" s="19">
        <v>2</v>
      </c>
      <c r="J7" s="20">
        <v>34</v>
      </c>
      <c r="K7" s="19">
        <v>2</v>
      </c>
      <c r="L7" s="20">
        <v>34</v>
      </c>
      <c r="M7" s="19">
        <v>2</v>
      </c>
      <c r="N7" s="19">
        <v>34</v>
      </c>
      <c r="O7" s="19">
        <v>2</v>
      </c>
      <c r="P7" s="19">
        <v>34</v>
      </c>
      <c r="Q7" s="19">
        <v>2</v>
      </c>
      <c r="R7" s="19">
        <v>34</v>
      </c>
      <c r="S7" s="19">
        <v>2</v>
      </c>
      <c r="T7" s="19">
        <v>34</v>
      </c>
      <c r="U7" s="19">
        <v>2</v>
      </c>
      <c r="V7" s="18">
        <f t="shared" si="0"/>
        <v>0</v>
      </c>
      <c r="W7" s="23"/>
      <c r="X7" s="59">
        <f t="shared" si="1"/>
        <v>34</v>
      </c>
      <c r="Y7" s="32">
        <f>X7/17</f>
        <v>2</v>
      </c>
      <c r="Z7" s="19">
        <f t="shared" si="2"/>
        <v>17</v>
      </c>
    </row>
    <row r="8" spans="1:26" ht="15.75">
      <c r="A8" s="19">
        <v>5</v>
      </c>
      <c r="B8" s="20" t="s">
        <v>54</v>
      </c>
      <c r="C8" s="21" t="s">
        <v>18</v>
      </c>
      <c r="D8" s="20">
        <v>1655</v>
      </c>
      <c r="E8" s="19">
        <v>331</v>
      </c>
      <c r="F8" s="20">
        <v>1655</v>
      </c>
      <c r="G8" s="19">
        <v>331</v>
      </c>
      <c r="H8" s="20">
        <v>1655</v>
      </c>
      <c r="I8" s="19">
        <v>331</v>
      </c>
      <c r="J8" s="20">
        <v>1655</v>
      </c>
      <c r="K8" s="19">
        <v>331</v>
      </c>
      <c r="L8" s="20">
        <v>1655</v>
      </c>
      <c r="M8" s="19">
        <v>331</v>
      </c>
      <c r="N8" s="19">
        <v>655</v>
      </c>
      <c r="O8" s="19">
        <v>131</v>
      </c>
      <c r="P8" s="19">
        <v>655</v>
      </c>
      <c r="Q8" s="19">
        <v>131</v>
      </c>
      <c r="R8" s="19">
        <v>655</v>
      </c>
      <c r="S8" s="19">
        <v>131</v>
      </c>
      <c r="T8" s="19">
        <v>655</v>
      </c>
      <c r="U8" s="19">
        <v>131</v>
      </c>
      <c r="V8" s="18">
        <f t="shared" si="0"/>
        <v>1000</v>
      </c>
      <c r="W8" s="23"/>
      <c r="X8" s="59">
        <f t="shared" si="1"/>
        <v>2655</v>
      </c>
      <c r="Y8" s="32">
        <f>X8/5</f>
        <v>531</v>
      </c>
      <c r="Z8" s="19">
        <f t="shared" si="2"/>
        <v>5</v>
      </c>
    </row>
    <row r="9" spans="1:26" ht="15.75">
      <c r="A9" s="19">
        <v>6</v>
      </c>
      <c r="B9" s="20" t="s">
        <v>54</v>
      </c>
      <c r="C9" s="21" t="s">
        <v>19</v>
      </c>
      <c r="D9" s="20">
        <v>43.8</v>
      </c>
      <c r="E9" s="19">
        <v>73</v>
      </c>
      <c r="F9" s="20">
        <v>43.8</v>
      </c>
      <c r="G9" s="19">
        <v>73</v>
      </c>
      <c r="H9" s="20">
        <v>43.8</v>
      </c>
      <c r="I9" s="19">
        <v>73</v>
      </c>
      <c r="J9" s="20">
        <v>43.8</v>
      </c>
      <c r="K9" s="19">
        <v>73</v>
      </c>
      <c r="L9" s="20">
        <v>43.8</v>
      </c>
      <c r="M9" s="19">
        <v>73</v>
      </c>
      <c r="N9" s="19">
        <v>43.8</v>
      </c>
      <c r="O9" s="19">
        <v>73</v>
      </c>
      <c r="P9" s="19">
        <v>43.8</v>
      </c>
      <c r="Q9" s="19">
        <v>73</v>
      </c>
      <c r="R9" s="19">
        <v>43.8</v>
      </c>
      <c r="S9" s="19">
        <v>73</v>
      </c>
      <c r="T9" s="19">
        <v>43.8</v>
      </c>
      <c r="U9" s="19">
        <v>73</v>
      </c>
      <c r="V9" s="18">
        <f t="shared" si="0"/>
        <v>0</v>
      </c>
      <c r="W9" s="23"/>
      <c r="X9" s="59">
        <f t="shared" si="1"/>
        <v>43.8</v>
      </c>
      <c r="Y9" s="32">
        <f>X9/0.6</f>
        <v>73</v>
      </c>
      <c r="Z9" s="19">
        <f t="shared" si="2"/>
        <v>0.6</v>
      </c>
    </row>
    <row r="10" spans="1:26" ht="15.75">
      <c r="A10" s="19">
        <v>7</v>
      </c>
      <c r="B10" s="20" t="s">
        <v>54</v>
      </c>
      <c r="C10" s="24" t="s">
        <v>20</v>
      </c>
      <c r="D10" s="20">
        <v>395</v>
      </c>
      <c r="E10" s="19">
        <v>79</v>
      </c>
      <c r="F10" s="20">
        <v>395</v>
      </c>
      <c r="G10" s="19">
        <v>79</v>
      </c>
      <c r="H10" s="20">
        <v>395</v>
      </c>
      <c r="I10" s="19">
        <v>79</v>
      </c>
      <c r="J10" s="20">
        <v>395</v>
      </c>
      <c r="K10" s="19">
        <v>79</v>
      </c>
      <c r="L10" s="20">
        <v>395</v>
      </c>
      <c r="M10" s="19">
        <v>79</v>
      </c>
      <c r="N10" s="19">
        <v>395</v>
      </c>
      <c r="O10" s="19">
        <v>79</v>
      </c>
      <c r="P10" s="19">
        <v>395</v>
      </c>
      <c r="Q10" s="19">
        <v>79</v>
      </c>
      <c r="R10" s="19">
        <v>395</v>
      </c>
      <c r="S10" s="19">
        <v>79</v>
      </c>
      <c r="T10" s="19">
        <v>395</v>
      </c>
      <c r="U10" s="19">
        <v>79</v>
      </c>
      <c r="V10" s="18">
        <f t="shared" si="0"/>
        <v>0</v>
      </c>
      <c r="W10" s="23"/>
      <c r="X10" s="59">
        <f t="shared" si="1"/>
        <v>395</v>
      </c>
      <c r="Y10" s="32">
        <f>X10/5</f>
        <v>79</v>
      </c>
      <c r="Z10" s="19">
        <f t="shared" si="2"/>
        <v>5</v>
      </c>
    </row>
    <row r="11" spans="1:26" ht="15.75">
      <c r="A11" s="19">
        <v>8</v>
      </c>
      <c r="B11" s="20" t="s">
        <v>54</v>
      </c>
      <c r="C11" s="24" t="s">
        <v>22</v>
      </c>
      <c r="D11" s="20">
        <v>1745</v>
      </c>
      <c r="E11" s="19">
        <v>349</v>
      </c>
      <c r="F11" s="20">
        <v>1745</v>
      </c>
      <c r="G11" s="19">
        <v>349</v>
      </c>
      <c r="H11" s="20">
        <v>1745</v>
      </c>
      <c r="I11" s="19">
        <v>349</v>
      </c>
      <c r="J11" s="20">
        <v>1745</v>
      </c>
      <c r="K11" s="19">
        <v>349</v>
      </c>
      <c r="L11" s="20">
        <v>1745</v>
      </c>
      <c r="M11" s="19">
        <v>349</v>
      </c>
      <c r="N11" s="19">
        <v>1745</v>
      </c>
      <c r="O11" s="19">
        <v>349</v>
      </c>
      <c r="P11" s="19">
        <v>1745</v>
      </c>
      <c r="Q11" s="19">
        <v>349</v>
      </c>
      <c r="R11" s="19">
        <v>1745</v>
      </c>
      <c r="S11" s="19">
        <v>349</v>
      </c>
      <c r="T11" s="19">
        <v>1745</v>
      </c>
      <c r="U11" s="19">
        <v>349</v>
      </c>
      <c r="V11" s="18">
        <f t="shared" si="0"/>
        <v>0</v>
      </c>
      <c r="W11" s="23"/>
      <c r="X11" s="59">
        <f t="shared" si="1"/>
        <v>1745</v>
      </c>
      <c r="Y11" s="32">
        <f>X11/5</f>
        <v>349</v>
      </c>
      <c r="Z11" s="19">
        <f t="shared" si="2"/>
        <v>5</v>
      </c>
    </row>
    <row r="12" spans="1:26" ht="15.75">
      <c r="A12" s="19">
        <v>9</v>
      </c>
      <c r="B12" s="20" t="s">
        <v>54</v>
      </c>
      <c r="C12" s="24" t="s">
        <v>23</v>
      </c>
      <c r="D12" s="20">
        <v>0</v>
      </c>
      <c r="E12" s="19">
        <v>-26</v>
      </c>
      <c r="F12" s="20">
        <v>0</v>
      </c>
      <c r="G12" s="19">
        <v>-26</v>
      </c>
      <c r="H12" s="20">
        <v>0</v>
      </c>
      <c r="I12" s="19">
        <v>-26</v>
      </c>
      <c r="J12" s="20">
        <v>0</v>
      </c>
      <c r="K12" s="19">
        <v>-26</v>
      </c>
      <c r="L12" s="20">
        <v>0</v>
      </c>
      <c r="M12" s="19">
        <v>-26</v>
      </c>
      <c r="N12" s="19">
        <v>20.8</v>
      </c>
      <c r="O12" s="19">
        <v>0</v>
      </c>
      <c r="P12" s="19">
        <v>20.8</v>
      </c>
      <c r="Q12" s="19">
        <v>0</v>
      </c>
      <c r="R12" s="19">
        <v>20.8</v>
      </c>
      <c r="S12" s="19">
        <v>0</v>
      </c>
      <c r="T12" s="19">
        <v>20.8</v>
      </c>
      <c r="U12" s="19">
        <v>0</v>
      </c>
      <c r="V12" s="18">
        <f t="shared" si="0"/>
        <v>-20.8</v>
      </c>
      <c r="W12" s="23"/>
      <c r="X12" s="59">
        <f t="shared" si="1"/>
        <v>-20.8</v>
      </c>
      <c r="Y12" s="32">
        <f>X12/0.8</f>
        <v>-26</v>
      </c>
      <c r="Z12" s="19">
        <f t="shared" si="2"/>
        <v>0.8</v>
      </c>
    </row>
    <row r="13" spans="1:26" ht="15.75">
      <c r="A13" s="19">
        <v>10</v>
      </c>
      <c r="B13" s="20" t="s">
        <v>54</v>
      </c>
      <c r="C13" s="24" t="s">
        <v>25</v>
      </c>
      <c r="D13" s="20">
        <v>2711</v>
      </c>
      <c r="E13" s="19"/>
      <c r="F13" s="20">
        <v>2711</v>
      </c>
      <c r="G13" s="19">
        <v>0</v>
      </c>
      <c r="H13" s="20">
        <v>2711</v>
      </c>
      <c r="I13" s="19">
        <v>0</v>
      </c>
      <c r="J13" s="20">
        <v>2711</v>
      </c>
      <c r="K13" s="19">
        <v>0</v>
      </c>
      <c r="L13" s="20">
        <v>2711</v>
      </c>
      <c r="M13" s="19">
        <v>0</v>
      </c>
      <c r="N13" s="19">
        <v>431</v>
      </c>
      <c r="O13" s="19">
        <v>0</v>
      </c>
      <c r="P13" s="19">
        <v>431</v>
      </c>
      <c r="Q13" s="19">
        <v>0</v>
      </c>
      <c r="R13" s="19">
        <v>431</v>
      </c>
      <c r="S13" s="19">
        <v>0</v>
      </c>
      <c r="T13" s="19">
        <v>431</v>
      </c>
      <c r="U13" s="19">
        <v>0</v>
      </c>
      <c r="V13" s="18">
        <f t="shared" si="0"/>
        <v>2280</v>
      </c>
      <c r="W13" s="23"/>
      <c r="X13" s="59">
        <f t="shared" si="1"/>
        <v>4991</v>
      </c>
      <c r="Y13" s="32">
        <v>0</v>
      </c>
      <c r="Z13" s="19" t="e">
        <f t="shared" si="2"/>
        <v>#DIV/0!</v>
      </c>
    </row>
    <row r="14" spans="1:26" ht="15.75">
      <c r="A14" s="19">
        <v>11</v>
      </c>
      <c r="B14" s="20" t="s">
        <v>54</v>
      </c>
      <c r="C14" s="24" t="s">
        <v>26</v>
      </c>
      <c r="D14" s="20">
        <v>7</v>
      </c>
      <c r="E14" s="19"/>
      <c r="F14" s="20">
        <v>7</v>
      </c>
      <c r="G14" s="19">
        <v>0</v>
      </c>
      <c r="H14" s="20">
        <v>7</v>
      </c>
      <c r="I14" s="19">
        <v>0</v>
      </c>
      <c r="J14" s="20">
        <v>7</v>
      </c>
      <c r="K14" s="19">
        <v>0</v>
      </c>
      <c r="L14" s="20">
        <v>7</v>
      </c>
      <c r="M14" s="19">
        <v>0</v>
      </c>
      <c r="N14" s="19">
        <v>7</v>
      </c>
      <c r="O14" s="19">
        <v>0</v>
      </c>
      <c r="P14" s="19">
        <v>7</v>
      </c>
      <c r="Q14" s="19">
        <v>0</v>
      </c>
      <c r="R14" s="19">
        <v>7</v>
      </c>
      <c r="S14" s="19">
        <v>0</v>
      </c>
      <c r="T14" s="19">
        <v>7</v>
      </c>
      <c r="U14" s="19">
        <v>0</v>
      </c>
      <c r="V14" s="18">
        <f t="shared" si="0"/>
        <v>0</v>
      </c>
      <c r="W14" s="23"/>
      <c r="X14" s="59">
        <f t="shared" si="1"/>
        <v>7</v>
      </c>
      <c r="Y14" s="32">
        <v>0</v>
      </c>
      <c r="Z14" s="19" t="e">
        <f t="shared" si="2"/>
        <v>#DIV/0!</v>
      </c>
    </row>
    <row r="15" spans="1:26" ht="15.75">
      <c r="A15" s="19">
        <v>12</v>
      </c>
      <c r="B15" s="20" t="s">
        <v>54</v>
      </c>
      <c r="C15" s="21" t="s">
        <v>27</v>
      </c>
      <c r="D15" s="20">
        <v>0</v>
      </c>
      <c r="E15" s="19"/>
      <c r="F15" s="20">
        <v>0</v>
      </c>
      <c r="G15" s="19">
        <v>0</v>
      </c>
      <c r="H15" s="20">
        <v>0</v>
      </c>
      <c r="I15" s="19">
        <v>0</v>
      </c>
      <c r="J15" s="20">
        <v>0</v>
      </c>
      <c r="K15" s="19">
        <v>0</v>
      </c>
      <c r="L15" s="20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8">
        <f t="shared" si="0"/>
        <v>0</v>
      </c>
      <c r="W15" s="23"/>
      <c r="X15" s="59">
        <f t="shared" si="1"/>
        <v>0</v>
      </c>
      <c r="Y15" s="32">
        <v>0</v>
      </c>
      <c r="Z15" s="19" t="e">
        <f t="shared" si="2"/>
        <v>#DIV/0!</v>
      </c>
    </row>
    <row r="16" spans="1:26" ht="15.75">
      <c r="A16" s="19">
        <v>13</v>
      </c>
      <c r="B16" s="20" t="s">
        <v>54</v>
      </c>
      <c r="C16" s="25" t="s">
        <v>28</v>
      </c>
      <c r="D16" s="99">
        <v>-205</v>
      </c>
      <c r="E16" s="19">
        <v>-7</v>
      </c>
      <c r="F16" s="99">
        <v>-205</v>
      </c>
      <c r="G16" s="19">
        <v>-7</v>
      </c>
      <c r="H16" s="99">
        <v>-205</v>
      </c>
      <c r="I16" s="19">
        <v>-7</v>
      </c>
      <c r="J16" s="99">
        <v>-205</v>
      </c>
      <c r="K16" s="19">
        <v>-7</v>
      </c>
      <c r="L16" s="99">
        <v>-205</v>
      </c>
      <c r="M16" s="19">
        <v>-7</v>
      </c>
      <c r="N16" s="102">
        <v>-205</v>
      </c>
      <c r="O16" s="19">
        <v>-7</v>
      </c>
      <c r="P16" s="102">
        <v>-205</v>
      </c>
      <c r="Q16" s="19">
        <v>-7</v>
      </c>
      <c r="R16" s="102">
        <v>-205</v>
      </c>
      <c r="S16" s="19">
        <v>-7</v>
      </c>
      <c r="T16" s="102">
        <v>-205</v>
      </c>
      <c r="U16" s="19">
        <v>-7</v>
      </c>
      <c r="V16" s="18">
        <f t="shared" si="0"/>
        <v>0</v>
      </c>
      <c r="W16" s="23"/>
      <c r="X16" s="59">
        <f t="shared" si="1"/>
        <v>-205</v>
      </c>
      <c r="Y16" s="32">
        <f>X16/17</f>
        <v>-12.058823529411764</v>
      </c>
      <c r="Z16" s="19">
        <f t="shared" si="2"/>
        <v>17</v>
      </c>
    </row>
    <row r="17" spans="1:26" ht="15.75">
      <c r="A17" s="19">
        <v>14</v>
      </c>
      <c r="B17" s="20" t="s">
        <v>54</v>
      </c>
      <c r="C17" s="25" t="s">
        <v>29</v>
      </c>
      <c r="D17" s="20">
        <v>414</v>
      </c>
      <c r="E17" s="19">
        <v>23</v>
      </c>
      <c r="F17" s="20">
        <v>414</v>
      </c>
      <c r="G17" s="19">
        <v>23</v>
      </c>
      <c r="H17" s="20">
        <v>414</v>
      </c>
      <c r="I17" s="19">
        <v>23</v>
      </c>
      <c r="J17" s="20">
        <v>414</v>
      </c>
      <c r="K17" s="19">
        <v>23</v>
      </c>
      <c r="L17" s="20">
        <v>414</v>
      </c>
      <c r="M17" s="19">
        <v>23</v>
      </c>
      <c r="N17" s="19">
        <v>414</v>
      </c>
      <c r="O17" s="19">
        <v>23</v>
      </c>
      <c r="P17" s="19">
        <v>414</v>
      </c>
      <c r="Q17" s="19">
        <v>23</v>
      </c>
      <c r="R17" s="19">
        <v>414</v>
      </c>
      <c r="S17" s="19">
        <v>23</v>
      </c>
      <c r="T17" s="19">
        <v>414</v>
      </c>
      <c r="U17" s="19">
        <v>23</v>
      </c>
      <c r="V17" s="18">
        <f t="shared" si="0"/>
        <v>0</v>
      </c>
      <c r="W17" s="23"/>
      <c r="X17" s="59">
        <f t="shared" si="1"/>
        <v>414</v>
      </c>
      <c r="Y17" s="32">
        <f>X17/17</f>
        <v>24.352941176470587</v>
      </c>
      <c r="Z17" s="19">
        <f t="shared" si="2"/>
        <v>17</v>
      </c>
    </row>
    <row r="18" spans="1:26" ht="15.75">
      <c r="A18" s="19">
        <v>15</v>
      </c>
      <c r="B18" s="20" t="s">
        <v>54</v>
      </c>
      <c r="C18" s="25" t="s">
        <v>30</v>
      </c>
      <c r="D18" s="20">
        <v>366</v>
      </c>
      <c r="E18" s="19">
        <v>0</v>
      </c>
      <c r="F18" s="20">
        <v>366</v>
      </c>
      <c r="G18" s="19">
        <v>0</v>
      </c>
      <c r="H18" s="20">
        <v>366</v>
      </c>
      <c r="I18" s="19">
        <v>0</v>
      </c>
      <c r="J18" s="20">
        <v>366</v>
      </c>
      <c r="K18" s="19">
        <v>0</v>
      </c>
      <c r="L18" s="20">
        <v>366</v>
      </c>
      <c r="M18" s="19">
        <v>0</v>
      </c>
      <c r="N18" s="19">
        <v>366</v>
      </c>
      <c r="O18" s="19">
        <v>0</v>
      </c>
      <c r="P18" s="19">
        <v>366</v>
      </c>
      <c r="Q18" s="19">
        <v>0</v>
      </c>
      <c r="R18" s="19">
        <v>366</v>
      </c>
      <c r="S18" s="19">
        <v>0</v>
      </c>
      <c r="T18" s="19">
        <v>366</v>
      </c>
      <c r="U18" s="19">
        <v>0</v>
      </c>
      <c r="V18" s="18">
        <f t="shared" si="0"/>
        <v>0</v>
      </c>
      <c r="W18" s="23"/>
      <c r="X18" s="59">
        <f t="shared" si="1"/>
        <v>366</v>
      </c>
      <c r="Y18" s="32">
        <v>0</v>
      </c>
      <c r="Z18" s="19" t="e">
        <f t="shared" si="2"/>
        <v>#DIV/0!</v>
      </c>
    </row>
    <row r="19" spans="1:26" ht="15.75">
      <c r="A19" s="19">
        <v>16</v>
      </c>
      <c r="B19" s="20" t="s">
        <v>54</v>
      </c>
      <c r="C19" s="25" t="s">
        <v>31</v>
      </c>
      <c r="D19" s="20">
        <v>4.34</v>
      </c>
      <c r="E19" s="19">
        <v>0</v>
      </c>
      <c r="F19" s="20">
        <v>4.34</v>
      </c>
      <c r="G19" s="19">
        <v>0</v>
      </c>
      <c r="H19" s="20">
        <v>4.34</v>
      </c>
      <c r="I19" s="19">
        <v>0</v>
      </c>
      <c r="J19" s="20">
        <v>4.34</v>
      </c>
      <c r="K19" s="19">
        <v>0</v>
      </c>
      <c r="L19" s="20">
        <v>4.34</v>
      </c>
      <c r="M19" s="19">
        <v>0</v>
      </c>
      <c r="N19" s="19">
        <v>4.34</v>
      </c>
      <c r="O19" s="19">
        <v>0</v>
      </c>
      <c r="P19" s="19">
        <v>4.34</v>
      </c>
      <c r="Q19" s="19">
        <v>0</v>
      </c>
      <c r="R19" s="19">
        <v>4.34</v>
      </c>
      <c r="S19" s="19">
        <v>0</v>
      </c>
      <c r="T19" s="19">
        <v>4.34</v>
      </c>
      <c r="U19" s="19">
        <v>0</v>
      </c>
      <c r="V19" s="18">
        <f t="shared" si="0"/>
        <v>0</v>
      </c>
      <c r="W19" s="23"/>
      <c r="X19" s="59">
        <f t="shared" si="1"/>
        <v>4.34</v>
      </c>
      <c r="Y19" s="32">
        <v>0</v>
      </c>
      <c r="Z19" s="19" t="e">
        <f t="shared" si="2"/>
        <v>#DIV/0!</v>
      </c>
    </row>
    <row r="20" spans="1:26" ht="15.75">
      <c r="A20" s="19">
        <v>17</v>
      </c>
      <c r="B20" s="20" t="s">
        <v>54</v>
      </c>
      <c r="C20" s="25" t="s">
        <v>32</v>
      </c>
      <c r="D20" s="20">
        <v>100</v>
      </c>
      <c r="E20" s="19">
        <v>0</v>
      </c>
      <c r="F20" s="20">
        <v>100</v>
      </c>
      <c r="G20" s="19">
        <v>0</v>
      </c>
      <c r="H20" s="20">
        <v>100</v>
      </c>
      <c r="I20" s="19">
        <v>0</v>
      </c>
      <c r="J20" s="20">
        <v>100</v>
      </c>
      <c r="K20" s="19">
        <v>0</v>
      </c>
      <c r="L20" s="20">
        <v>100</v>
      </c>
      <c r="M20" s="19">
        <v>0</v>
      </c>
      <c r="N20" s="19">
        <v>100</v>
      </c>
      <c r="O20" s="19">
        <v>0</v>
      </c>
      <c r="P20" s="19">
        <v>100</v>
      </c>
      <c r="Q20" s="19">
        <v>0</v>
      </c>
      <c r="R20" s="19">
        <v>100</v>
      </c>
      <c r="S20" s="19">
        <v>0</v>
      </c>
      <c r="T20" s="19">
        <v>100</v>
      </c>
      <c r="U20" s="19">
        <v>0</v>
      </c>
      <c r="V20" s="18">
        <f t="shared" si="0"/>
        <v>0</v>
      </c>
      <c r="W20" s="23"/>
      <c r="X20" s="59">
        <f t="shared" si="1"/>
        <v>100</v>
      </c>
      <c r="Y20" s="32">
        <v>0</v>
      </c>
      <c r="Z20" s="19" t="e">
        <f t="shared" si="2"/>
        <v>#DIV/0!</v>
      </c>
    </row>
    <row r="21" spans="1:26" ht="15.75">
      <c r="A21" s="19">
        <v>18</v>
      </c>
      <c r="B21" s="20" t="s">
        <v>54</v>
      </c>
      <c r="C21" s="25" t="s">
        <v>33</v>
      </c>
      <c r="D21" s="20">
        <v>526</v>
      </c>
      <c r="E21" s="19">
        <v>0</v>
      </c>
      <c r="F21" s="20">
        <v>526</v>
      </c>
      <c r="G21" s="19">
        <v>0</v>
      </c>
      <c r="H21" s="20">
        <v>526</v>
      </c>
      <c r="I21" s="19">
        <v>0</v>
      </c>
      <c r="J21" s="20">
        <v>526</v>
      </c>
      <c r="K21" s="19">
        <v>0</v>
      </c>
      <c r="L21" s="20">
        <v>526</v>
      </c>
      <c r="M21" s="19">
        <v>0</v>
      </c>
      <c r="N21" s="19">
        <v>376</v>
      </c>
      <c r="O21" s="19">
        <v>0</v>
      </c>
      <c r="P21" s="19">
        <v>376</v>
      </c>
      <c r="Q21" s="19">
        <v>0</v>
      </c>
      <c r="R21" s="19">
        <v>376</v>
      </c>
      <c r="S21" s="19">
        <v>0</v>
      </c>
      <c r="T21" s="19">
        <v>376</v>
      </c>
      <c r="U21" s="19">
        <v>0</v>
      </c>
      <c r="V21" s="18">
        <f t="shared" si="0"/>
        <v>150</v>
      </c>
      <c r="W21" s="23"/>
      <c r="X21" s="59">
        <f t="shared" si="1"/>
        <v>676</v>
      </c>
      <c r="Y21" s="32">
        <v>0</v>
      </c>
      <c r="Z21" s="19" t="e">
        <f t="shared" si="2"/>
        <v>#DIV/0!</v>
      </c>
    </row>
    <row r="22" spans="1:26" ht="15.75">
      <c r="A22" s="19">
        <v>19</v>
      </c>
      <c r="B22" s="20" t="s">
        <v>54</v>
      </c>
      <c r="C22" s="25" t="s">
        <v>34</v>
      </c>
      <c r="D22" s="20">
        <v>0</v>
      </c>
      <c r="E22" s="19">
        <v>0</v>
      </c>
      <c r="F22" s="20">
        <v>0</v>
      </c>
      <c r="G22" s="19">
        <v>0</v>
      </c>
      <c r="H22" s="20">
        <v>0</v>
      </c>
      <c r="I22" s="19">
        <v>0</v>
      </c>
      <c r="J22" s="20">
        <v>0</v>
      </c>
      <c r="K22" s="19">
        <v>0</v>
      </c>
      <c r="L22" s="20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8">
        <f t="shared" si="0"/>
        <v>0</v>
      </c>
      <c r="W22" s="23"/>
      <c r="X22" s="59">
        <f t="shared" si="1"/>
        <v>0</v>
      </c>
      <c r="Y22" s="32">
        <v>0</v>
      </c>
      <c r="Z22" s="19" t="e">
        <f t="shared" si="2"/>
        <v>#DIV/0!</v>
      </c>
    </row>
    <row r="23" spans="1:26" ht="15.75">
      <c r="A23" s="19">
        <v>20</v>
      </c>
      <c r="B23" s="20" t="s">
        <v>54</v>
      </c>
      <c r="C23" s="25" t="s">
        <v>35</v>
      </c>
      <c r="D23" s="20">
        <v>0</v>
      </c>
      <c r="E23" s="19">
        <v>0</v>
      </c>
      <c r="F23" s="20">
        <v>0</v>
      </c>
      <c r="G23" s="19">
        <v>0</v>
      </c>
      <c r="H23" s="20">
        <v>0</v>
      </c>
      <c r="I23" s="19">
        <v>0</v>
      </c>
      <c r="J23" s="20">
        <v>0</v>
      </c>
      <c r="K23" s="19">
        <v>0</v>
      </c>
      <c r="L23" s="20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8">
        <f t="shared" si="0"/>
        <v>0</v>
      </c>
      <c r="W23" s="23"/>
      <c r="X23" s="59">
        <f t="shared" si="1"/>
        <v>0</v>
      </c>
      <c r="Y23" s="32">
        <v>0</v>
      </c>
      <c r="Z23" s="19" t="e">
        <f t="shared" si="2"/>
        <v>#DIV/0!</v>
      </c>
    </row>
    <row r="24" spans="1:26" ht="15.75">
      <c r="A24" s="19">
        <v>21</v>
      </c>
      <c r="B24" s="20" t="s">
        <v>54</v>
      </c>
      <c r="C24" s="25" t="s">
        <v>36</v>
      </c>
      <c r="D24" s="20">
        <v>0</v>
      </c>
      <c r="E24" s="19">
        <v>0</v>
      </c>
      <c r="F24" s="20">
        <v>0</v>
      </c>
      <c r="G24" s="19">
        <v>0</v>
      </c>
      <c r="H24" s="20">
        <v>0</v>
      </c>
      <c r="I24" s="19">
        <v>0</v>
      </c>
      <c r="J24" s="20">
        <v>0</v>
      </c>
      <c r="K24" s="19">
        <v>0</v>
      </c>
      <c r="L24" s="20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8">
        <f t="shared" si="0"/>
        <v>0</v>
      </c>
      <c r="W24" s="23"/>
      <c r="X24" s="59">
        <f t="shared" si="1"/>
        <v>0</v>
      </c>
      <c r="Y24" s="32">
        <v>0</v>
      </c>
      <c r="Z24" s="19" t="e">
        <f t="shared" si="2"/>
        <v>#DIV/0!</v>
      </c>
    </row>
    <row r="25" spans="1:26" ht="15.75">
      <c r="A25" s="19">
        <v>22</v>
      </c>
      <c r="B25" s="20" t="s">
        <v>54</v>
      </c>
      <c r="C25" s="25" t="s">
        <v>37</v>
      </c>
      <c r="D25" s="20">
        <v>0</v>
      </c>
      <c r="E25" s="19">
        <v>0</v>
      </c>
      <c r="F25" s="20">
        <v>0</v>
      </c>
      <c r="G25" s="19">
        <v>0</v>
      </c>
      <c r="H25" s="20">
        <v>0</v>
      </c>
      <c r="I25" s="19">
        <v>0</v>
      </c>
      <c r="J25" s="20">
        <v>0</v>
      </c>
      <c r="K25" s="19">
        <v>0</v>
      </c>
      <c r="L25" s="20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8">
        <f t="shared" si="0"/>
        <v>0</v>
      </c>
      <c r="W25" s="23"/>
      <c r="X25" s="59">
        <f t="shared" si="1"/>
        <v>0</v>
      </c>
      <c r="Y25" s="32">
        <v>0</v>
      </c>
      <c r="Z25" s="19" t="e">
        <f t="shared" si="2"/>
        <v>#DIV/0!</v>
      </c>
    </row>
    <row r="26" spans="1:26" ht="15.75">
      <c r="A26" s="19">
        <v>23</v>
      </c>
      <c r="B26" s="20" t="s">
        <v>54</v>
      </c>
      <c r="C26" s="21" t="s">
        <v>38</v>
      </c>
      <c r="D26" s="26">
        <v>0</v>
      </c>
      <c r="E26" s="19">
        <v>0</v>
      </c>
      <c r="F26" s="26">
        <v>0</v>
      </c>
      <c r="G26" s="19">
        <v>0</v>
      </c>
      <c r="H26" s="26">
        <v>0</v>
      </c>
      <c r="I26" s="19">
        <v>0</v>
      </c>
      <c r="J26" s="26">
        <v>0</v>
      </c>
      <c r="K26" s="19">
        <v>0</v>
      </c>
      <c r="L26" s="26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8">
        <f t="shared" si="0"/>
        <v>0</v>
      </c>
      <c r="W26" s="23"/>
      <c r="X26" s="59">
        <f t="shared" si="1"/>
        <v>0</v>
      </c>
      <c r="Y26" s="32">
        <f t="shared" ref="Y26:Y31" si="3">X26/19</f>
        <v>0</v>
      </c>
      <c r="Z26" s="19" t="e">
        <f t="shared" si="2"/>
        <v>#DIV/0!</v>
      </c>
    </row>
    <row r="27" spans="1:26" ht="15.75">
      <c r="A27" s="19">
        <v>24</v>
      </c>
      <c r="B27" s="20" t="s">
        <v>54</v>
      </c>
      <c r="C27" s="21" t="s">
        <v>39</v>
      </c>
      <c r="D27" s="27">
        <f>E27*1.4</f>
        <v>338.79999999999995</v>
      </c>
      <c r="E27" s="19">
        <v>242</v>
      </c>
      <c r="F27" s="27">
        <f>G27*1.4</f>
        <v>338.79999999999995</v>
      </c>
      <c r="G27" s="19">
        <v>242</v>
      </c>
      <c r="H27" s="27">
        <f>I27*1.4</f>
        <v>338.79999999999995</v>
      </c>
      <c r="I27" s="19">
        <v>242</v>
      </c>
      <c r="J27" s="27">
        <f>K27*1.4</f>
        <v>338.79999999999995</v>
      </c>
      <c r="K27" s="19">
        <v>242</v>
      </c>
      <c r="L27" s="27">
        <f>M27*1.4</f>
        <v>338.79999999999995</v>
      </c>
      <c r="M27" s="19">
        <v>242</v>
      </c>
      <c r="N27" s="19">
        <v>338.8</v>
      </c>
      <c r="O27" s="19">
        <v>242</v>
      </c>
      <c r="P27" s="19">
        <v>338.8</v>
      </c>
      <c r="Q27" s="19">
        <v>242</v>
      </c>
      <c r="R27" s="19">
        <v>338.8</v>
      </c>
      <c r="S27" s="19">
        <v>242</v>
      </c>
      <c r="T27" s="19">
        <v>338.8</v>
      </c>
      <c r="U27" s="19">
        <v>242</v>
      </c>
      <c r="V27" s="18">
        <f t="shared" si="0"/>
        <v>0</v>
      </c>
      <c r="W27" s="23"/>
      <c r="X27" s="59">
        <f t="shared" si="1"/>
        <v>338.79999999999995</v>
      </c>
      <c r="Y27" s="32">
        <f>X27/1.4</f>
        <v>241.99999999999997</v>
      </c>
      <c r="Z27" s="19">
        <f t="shared" si="2"/>
        <v>1.4</v>
      </c>
    </row>
    <row r="28" spans="1:26" ht="15.75">
      <c r="A28" s="19">
        <v>25</v>
      </c>
      <c r="B28" s="20" t="s">
        <v>54</v>
      </c>
      <c r="C28" s="21" t="s">
        <v>40</v>
      </c>
      <c r="D28" s="27">
        <v>0</v>
      </c>
      <c r="E28" s="19">
        <v>0</v>
      </c>
      <c r="F28" s="27">
        <v>0</v>
      </c>
      <c r="G28" s="19">
        <v>0</v>
      </c>
      <c r="H28" s="27">
        <v>0</v>
      </c>
      <c r="I28" s="19">
        <v>0</v>
      </c>
      <c r="J28" s="27">
        <v>0</v>
      </c>
      <c r="K28" s="19">
        <v>0</v>
      </c>
      <c r="L28" s="27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8">
        <f t="shared" si="0"/>
        <v>0</v>
      </c>
      <c r="W28" s="23"/>
      <c r="X28" s="59">
        <f t="shared" si="1"/>
        <v>0</v>
      </c>
      <c r="Y28" s="32">
        <f t="shared" si="3"/>
        <v>0</v>
      </c>
      <c r="Z28" s="19" t="e">
        <f t="shared" si="2"/>
        <v>#DIV/0!</v>
      </c>
    </row>
    <row r="29" spans="1:26" ht="15.75">
      <c r="A29" s="19">
        <v>26</v>
      </c>
      <c r="B29" s="20" t="s">
        <v>54</v>
      </c>
      <c r="C29" s="21" t="s">
        <v>41</v>
      </c>
      <c r="D29" s="27">
        <v>0</v>
      </c>
      <c r="E29" s="28">
        <v>0</v>
      </c>
      <c r="F29" s="27">
        <v>0</v>
      </c>
      <c r="G29" s="19">
        <v>0</v>
      </c>
      <c r="H29" s="27">
        <v>0</v>
      </c>
      <c r="I29" s="19">
        <v>0</v>
      </c>
      <c r="J29" s="27">
        <v>0</v>
      </c>
      <c r="K29" s="19">
        <v>0</v>
      </c>
      <c r="L29" s="27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8">
        <f t="shared" si="0"/>
        <v>0</v>
      </c>
      <c r="W29" s="29"/>
      <c r="X29" s="59">
        <f t="shared" si="1"/>
        <v>0</v>
      </c>
      <c r="Y29" s="32">
        <f t="shared" si="3"/>
        <v>0</v>
      </c>
      <c r="Z29" s="19" t="e">
        <f t="shared" si="2"/>
        <v>#DIV/0!</v>
      </c>
    </row>
    <row r="30" spans="1:26" ht="15.75">
      <c r="A30" s="19">
        <v>27</v>
      </c>
      <c r="B30" s="20" t="s">
        <v>54</v>
      </c>
      <c r="C30" s="21" t="s">
        <v>42</v>
      </c>
      <c r="D30" s="27">
        <f>E30*0.6</f>
        <v>372</v>
      </c>
      <c r="E30" s="28">
        <v>620</v>
      </c>
      <c r="F30" s="27">
        <f>G30*0.6</f>
        <v>372</v>
      </c>
      <c r="G30" s="19">
        <v>620</v>
      </c>
      <c r="H30" s="27">
        <f>I30*0.6</f>
        <v>372</v>
      </c>
      <c r="I30" s="19">
        <v>620</v>
      </c>
      <c r="J30" s="27">
        <f>K30*0.6</f>
        <v>372</v>
      </c>
      <c r="K30" s="19">
        <v>620</v>
      </c>
      <c r="L30" s="27">
        <f>M30*0.6</f>
        <v>372</v>
      </c>
      <c r="M30" s="19">
        <v>620</v>
      </c>
      <c r="N30" s="19">
        <v>372</v>
      </c>
      <c r="O30" s="19">
        <v>620</v>
      </c>
      <c r="P30" s="19">
        <v>372</v>
      </c>
      <c r="Q30" s="19">
        <v>620</v>
      </c>
      <c r="R30" s="19">
        <v>372</v>
      </c>
      <c r="S30" s="19">
        <v>620</v>
      </c>
      <c r="T30" s="19">
        <v>372</v>
      </c>
      <c r="U30" s="19">
        <v>620</v>
      </c>
      <c r="V30" s="18">
        <f t="shared" si="0"/>
        <v>0</v>
      </c>
      <c r="W30" s="29"/>
      <c r="X30" s="59">
        <f t="shared" si="1"/>
        <v>372</v>
      </c>
      <c r="Y30" s="32">
        <f>X30/0.6</f>
        <v>620</v>
      </c>
      <c r="Z30" s="19">
        <f t="shared" si="2"/>
        <v>0.6</v>
      </c>
    </row>
    <row r="31" spans="1:26" ht="15.75">
      <c r="A31" s="19">
        <v>31</v>
      </c>
      <c r="B31" s="20" t="s">
        <v>54</v>
      </c>
      <c r="C31" s="21" t="s">
        <v>43</v>
      </c>
      <c r="D31" s="27"/>
      <c r="E31" s="28">
        <v>252</v>
      </c>
      <c r="F31" s="27"/>
      <c r="G31" s="19">
        <v>252</v>
      </c>
      <c r="H31" s="27"/>
      <c r="I31" s="19">
        <v>252</v>
      </c>
      <c r="J31" s="27"/>
      <c r="K31" s="19">
        <v>252</v>
      </c>
      <c r="L31" s="27"/>
      <c r="M31" s="19">
        <v>252</v>
      </c>
      <c r="N31" s="19">
        <v>0</v>
      </c>
      <c r="O31" s="19">
        <v>252</v>
      </c>
      <c r="P31" s="19">
        <v>0</v>
      </c>
      <c r="Q31" s="19">
        <v>252</v>
      </c>
      <c r="R31" s="19">
        <v>0</v>
      </c>
      <c r="S31" s="19">
        <v>252</v>
      </c>
      <c r="T31" s="19">
        <v>0</v>
      </c>
      <c r="U31" s="19">
        <v>252</v>
      </c>
      <c r="V31" s="18">
        <f t="shared" si="0"/>
        <v>0</v>
      </c>
      <c r="W31" s="29"/>
      <c r="X31" s="59">
        <f t="shared" si="1"/>
        <v>0</v>
      </c>
      <c r="Y31" s="32">
        <f t="shared" si="3"/>
        <v>0</v>
      </c>
      <c r="Z31" s="19" t="e">
        <f t="shared" si="2"/>
        <v>#DIV/0!</v>
      </c>
    </row>
    <row r="32" spans="1:26" ht="15.75">
      <c r="A32" s="20"/>
      <c r="B32" s="20"/>
      <c r="C32" s="175" t="s">
        <v>110</v>
      </c>
      <c r="D32" s="188">
        <f>SUM(D4:D31)</f>
        <v>8213.0400000000009</v>
      </c>
      <c r="E32" s="175"/>
      <c r="F32" s="188">
        <f>SUM(F4:F31)</f>
        <v>8213.0400000000009</v>
      </c>
      <c r="G32" s="175"/>
      <c r="H32" s="175">
        <f>SUM(H4:H31)</f>
        <v>8213.0400000000009</v>
      </c>
      <c r="I32" s="175"/>
      <c r="J32" s="175"/>
      <c r="K32" s="175"/>
      <c r="L32" s="175">
        <f>SUM(L4:L31)</f>
        <v>8213.0400000000009</v>
      </c>
      <c r="M32" s="175"/>
      <c r="N32" s="239">
        <f>SUM(N4:N31)</f>
        <v>4803.84</v>
      </c>
      <c r="O32" s="239"/>
      <c r="P32" s="239">
        <f>SUM(P4:P31)</f>
        <v>4803.84</v>
      </c>
      <c r="Q32" s="175"/>
      <c r="R32" s="239">
        <f>SUM(R4:R31)</f>
        <v>4803.84</v>
      </c>
      <c r="S32" s="175">
        <f>SUM(S4:S31)</f>
        <v>1764</v>
      </c>
      <c r="T32" s="175">
        <f>SUM(T4:T31)</f>
        <v>4803.84</v>
      </c>
      <c r="U32" s="175"/>
      <c r="V32" s="18">
        <f t="shared" si="0"/>
        <v>3409.2000000000007</v>
      </c>
      <c r="W32" s="189"/>
      <c r="X32" s="190">
        <f>SUM(X4:X31)</f>
        <v>11622.239999999998</v>
      </c>
      <c r="Y32" s="183"/>
      <c r="Z32" s="191"/>
    </row>
    <row r="33" spans="1:26" ht="15.75">
      <c r="A33" s="28"/>
      <c r="B33" s="28"/>
      <c r="C33" s="28"/>
      <c r="D33" s="186">
        <f>D4+D16</f>
        <v>-498.9</v>
      </c>
      <c r="E33" s="28"/>
      <c r="F33" s="28">
        <f>F4+F16</f>
        <v>-498.9</v>
      </c>
      <c r="G33" s="28"/>
      <c r="H33" s="40">
        <f>H4+H16</f>
        <v>-498.9</v>
      </c>
      <c r="I33" s="28"/>
      <c r="J33" s="28"/>
      <c r="K33" s="28"/>
      <c r="L33" s="28">
        <f>L4+L16</f>
        <v>-498.9</v>
      </c>
      <c r="M33" s="28"/>
      <c r="N33" s="103">
        <f>N4+N16</f>
        <v>-498.9</v>
      </c>
      <c r="O33" s="103"/>
      <c r="P33" s="103">
        <f>P4+P16</f>
        <v>-498.9</v>
      </c>
      <c r="Q33" s="28"/>
      <c r="R33" s="103">
        <f>R4+R16</f>
        <v>-498.9</v>
      </c>
      <c r="S33" s="28"/>
      <c r="T33" s="28">
        <f>T4+T16</f>
        <v>-498.9</v>
      </c>
      <c r="U33" s="28"/>
      <c r="V33" s="18">
        <f t="shared" si="0"/>
        <v>0</v>
      </c>
      <c r="W33" s="20"/>
      <c r="X33" s="59"/>
      <c r="Y33" s="28"/>
      <c r="Z33" s="28"/>
    </row>
    <row r="34" spans="1:26" ht="15.75">
      <c r="A34" s="184"/>
      <c r="B34" s="28"/>
      <c r="C34" s="28" t="e">
        <f>+KG</f>
        <v>#NAME?</v>
      </c>
      <c r="D34" s="40">
        <f>D7+D8+D9+D10+D11+D13+D17+D18+D19+D20+D21+D27+D30</f>
        <v>8704.94</v>
      </c>
      <c r="E34" s="28"/>
      <c r="F34" s="40">
        <f>F7+F8+F9+F10+F11+F13+F14+F17+F18+F19+F20+F21+F27+F30</f>
        <v>8711.94</v>
      </c>
      <c r="G34" s="28"/>
      <c r="H34" s="40">
        <f>H7+H8+H9+H10+H11+H13+H14+H17+H18+H19+H20+H21+H27+H30</f>
        <v>8711.94</v>
      </c>
      <c r="I34" s="28"/>
      <c r="J34" s="28"/>
      <c r="K34" s="28"/>
      <c r="L34" s="245">
        <f>L7+L8+L9+L10+L11+L13+L14+L17+L18+L19+L20+L21+L27+L30</f>
        <v>8711.94</v>
      </c>
      <c r="M34" s="28"/>
      <c r="N34" s="103">
        <f>N7+N8+N9+N10+N11+N12+N13+N14+N17+N18+N19+N20+N21+N27+N30</f>
        <v>5302.7400000000007</v>
      </c>
      <c r="O34" s="103"/>
      <c r="P34" s="103">
        <f>N34</f>
        <v>5302.7400000000007</v>
      </c>
      <c r="Q34" s="28"/>
      <c r="R34" s="103">
        <f>P34</f>
        <v>5302.7400000000007</v>
      </c>
      <c r="S34" s="28"/>
      <c r="T34" s="28">
        <f>T5+T6+T7+T8+T9+T10+T11+T12+T13+T14+T15+T17+T18+T19+T20+T21+T27+T29+T28+T30</f>
        <v>5302.7400000000007</v>
      </c>
      <c r="U34" s="28"/>
      <c r="V34" s="18">
        <f t="shared" si="0"/>
        <v>3409.2</v>
      </c>
      <c r="W34" s="28"/>
      <c r="X34" s="185"/>
      <c r="Y34" s="28"/>
      <c r="Z34" s="28"/>
    </row>
    <row r="35" spans="1:26">
      <c r="A35" s="28"/>
      <c r="B35" s="28"/>
      <c r="C35" s="187" t="s">
        <v>156</v>
      </c>
      <c r="D35" s="40">
        <f>SUM(D33:D34)</f>
        <v>8206.0400000000009</v>
      </c>
      <c r="E35" s="28"/>
      <c r="F35" s="28">
        <f>SUM(F33:F34)</f>
        <v>8213.0400000000009</v>
      </c>
      <c r="G35" s="28"/>
      <c r="H35" s="40">
        <f>SUM(H33:H34)</f>
        <v>8213.0400000000009</v>
      </c>
      <c r="I35" s="28"/>
      <c r="J35" s="28"/>
      <c r="K35" s="28"/>
      <c r="L35" s="103">
        <f>SUM(L33:L34)</f>
        <v>8213.0400000000009</v>
      </c>
      <c r="M35" s="28"/>
      <c r="N35" s="103">
        <f>SUM(N33:N34)</f>
        <v>4803.8400000000011</v>
      </c>
      <c r="O35" s="103"/>
      <c r="P35" s="103">
        <f>SUM(P33:P34)</f>
        <v>4803.8400000000011</v>
      </c>
      <c r="Q35" s="28"/>
      <c r="R35" s="103">
        <f>SUM(R33:R34)</f>
        <v>4803.8400000000011</v>
      </c>
      <c r="S35" s="28"/>
      <c r="T35" s="28">
        <f>SUM(T33:T34)</f>
        <v>4803.8400000000011</v>
      </c>
      <c r="U35" s="28"/>
      <c r="V35" s="28"/>
      <c r="W35" s="28"/>
      <c r="X35" s="28"/>
      <c r="Y35" s="28"/>
      <c r="Z35" s="28"/>
    </row>
  </sheetData>
  <mergeCells count="10">
    <mergeCell ref="A1:Z1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31" right="0.36" top="0.45" bottom="0.75" header="0.3" footer="0.3"/>
  <pageSetup paperSize="9" scale="9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E39"/>
  <sheetViews>
    <sheetView topLeftCell="A3" zoomScaleNormal="100" workbookViewId="0">
      <selection activeCell="V4" sqref="V4:V32"/>
    </sheetView>
  </sheetViews>
  <sheetFormatPr defaultColWidth="9" defaultRowHeight="15"/>
  <cols>
    <col min="2" max="2" width="14.140625" customWidth="1"/>
    <col min="3" max="3" width="26" customWidth="1"/>
    <col min="4" max="6" width="13.42578125" hidden="1" customWidth="1"/>
    <col min="7" max="7" width="11.85546875" hidden="1" customWidth="1"/>
    <col min="8" max="8" width="13.42578125" hidden="1" customWidth="1"/>
    <col min="9" max="19" width="12.7109375" hidden="1" customWidth="1"/>
    <col min="20" max="23" width="12.7109375" customWidth="1"/>
    <col min="24" max="24" width="13.28515625" bestFit="1" customWidth="1"/>
    <col min="25" max="25" width="12.7109375" bestFit="1" customWidth="1"/>
    <col min="26" max="26" width="16.28515625" bestFit="1" customWidth="1"/>
    <col min="28" max="28" width="12.42578125" customWidth="1"/>
  </cols>
  <sheetData>
    <row r="1" spans="1:29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9" ht="4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289" t="s">
        <v>164</v>
      </c>
      <c r="M2" s="290"/>
      <c r="N2" s="289" t="s">
        <v>171</v>
      </c>
      <c r="O2" s="290"/>
      <c r="P2" s="289" t="s">
        <v>232</v>
      </c>
      <c r="Q2" s="290"/>
      <c r="R2" s="289" t="s">
        <v>240</v>
      </c>
      <c r="S2" s="290"/>
      <c r="T2" s="289" t="s">
        <v>243</v>
      </c>
      <c r="U2" s="290"/>
      <c r="V2" s="289" t="s">
        <v>247</v>
      </c>
      <c r="W2" s="290"/>
      <c r="X2" s="162" t="s">
        <v>150</v>
      </c>
      <c r="Y2" s="162" t="s">
        <v>150</v>
      </c>
      <c r="Z2" s="108" t="s">
        <v>153</v>
      </c>
      <c r="AA2" s="108"/>
      <c r="AB2" s="108"/>
    </row>
    <row r="3" spans="1:29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7" t="s">
        <v>4</v>
      </c>
      <c r="G3" s="177" t="s">
        <v>109</v>
      </c>
      <c r="H3" s="177" t="s">
        <v>4</v>
      </c>
      <c r="I3" s="177" t="s">
        <v>109</v>
      </c>
      <c r="J3" s="177" t="s">
        <v>4</v>
      </c>
      <c r="K3" s="177" t="s">
        <v>109</v>
      </c>
      <c r="L3" s="177" t="s">
        <v>4</v>
      </c>
      <c r="M3" s="177" t="s">
        <v>109</v>
      </c>
      <c r="N3" s="177" t="s">
        <v>4</v>
      </c>
      <c r="O3" s="177" t="s">
        <v>109</v>
      </c>
      <c r="P3" s="177" t="s">
        <v>4</v>
      </c>
      <c r="Q3" s="177" t="s">
        <v>109</v>
      </c>
      <c r="R3" s="177" t="s">
        <v>4</v>
      </c>
      <c r="S3" s="177" t="s">
        <v>109</v>
      </c>
      <c r="T3" s="177" t="s">
        <v>4</v>
      </c>
      <c r="U3" s="177" t="s">
        <v>109</v>
      </c>
      <c r="V3" s="177" t="s">
        <v>4</v>
      </c>
      <c r="W3" s="177" t="s">
        <v>109</v>
      </c>
      <c r="X3" s="18" t="s">
        <v>125</v>
      </c>
      <c r="Y3" s="18" t="s">
        <v>8</v>
      </c>
      <c r="Z3" s="17" t="s">
        <v>10</v>
      </c>
      <c r="AA3" s="17" t="s">
        <v>11</v>
      </c>
      <c r="AB3" s="20" t="s">
        <v>12</v>
      </c>
    </row>
    <row r="4" spans="1:29" ht="15.75">
      <c r="A4" s="19">
        <v>1</v>
      </c>
      <c r="B4" s="20" t="s">
        <v>55</v>
      </c>
      <c r="C4" s="21" t="s">
        <v>14</v>
      </c>
      <c r="D4" s="20">
        <f>172232+110</f>
        <v>172342</v>
      </c>
      <c r="E4" s="20">
        <v>0</v>
      </c>
      <c r="F4" s="90">
        <v>163011</v>
      </c>
      <c r="G4" s="20">
        <v>0</v>
      </c>
      <c r="H4" s="90">
        <v>169354</v>
      </c>
      <c r="I4" s="20">
        <v>0</v>
      </c>
      <c r="J4" s="20">
        <v>189265</v>
      </c>
      <c r="K4" s="20">
        <v>0</v>
      </c>
      <c r="L4" s="20">
        <v>191317</v>
      </c>
      <c r="M4" s="20">
        <v>0</v>
      </c>
      <c r="N4" s="20">
        <v>173003</v>
      </c>
      <c r="O4" s="20">
        <v>0</v>
      </c>
      <c r="P4" s="20">
        <v>177945</v>
      </c>
      <c r="Q4" s="20">
        <v>0</v>
      </c>
      <c r="R4" s="20">
        <v>177685</v>
      </c>
      <c r="S4" s="20">
        <v>0</v>
      </c>
      <c r="T4" s="20">
        <v>177685</v>
      </c>
      <c r="U4" s="20">
        <v>0</v>
      </c>
      <c r="V4" s="20">
        <v>176785</v>
      </c>
      <c r="W4" s="20">
        <v>0</v>
      </c>
      <c r="X4" s="18">
        <f>T4-V4</f>
        <v>900</v>
      </c>
      <c r="Y4" s="22"/>
      <c r="Z4" s="20">
        <f>(H4+X4)-Y4</f>
        <v>170254</v>
      </c>
      <c r="AA4" s="20"/>
      <c r="AB4" s="19"/>
      <c r="AC4" s="87"/>
    </row>
    <row r="5" spans="1:29" ht="15.75">
      <c r="A5" s="19">
        <v>2</v>
      </c>
      <c r="B5" s="20" t="s">
        <v>55</v>
      </c>
      <c r="C5" s="21" t="s">
        <v>15</v>
      </c>
      <c r="D5" s="20">
        <v>9850</v>
      </c>
      <c r="E5" s="20">
        <v>394</v>
      </c>
      <c r="F5" s="90">
        <v>8513</v>
      </c>
      <c r="G5" s="19">
        <v>323</v>
      </c>
      <c r="H5" s="90">
        <v>8513</v>
      </c>
      <c r="I5" s="20">
        <v>323</v>
      </c>
      <c r="J5" s="20">
        <v>16530</v>
      </c>
      <c r="K5" s="20">
        <v>759</v>
      </c>
      <c r="L5" s="20">
        <v>16468</v>
      </c>
      <c r="M5" s="20">
        <v>754</v>
      </c>
      <c r="N5" s="20">
        <v>15968</v>
      </c>
      <c r="O5" s="20">
        <v>734</v>
      </c>
      <c r="P5" s="20">
        <v>15843</v>
      </c>
      <c r="Q5" s="20">
        <v>729</v>
      </c>
      <c r="R5" s="20">
        <v>15455</v>
      </c>
      <c r="S5" s="20">
        <v>711</v>
      </c>
      <c r="T5" s="20">
        <v>15455</v>
      </c>
      <c r="U5" s="20">
        <v>711</v>
      </c>
      <c r="V5" s="20">
        <v>15330</v>
      </c>
      <c r="W5" s="20">
        <v>701</v>
      </c>
      <c r="X5" s="18">
        <f t="shared" ref="X5:X32" si="0">T5-V5</f>
        <v>125</v>
      </c>
      <c r="Y5" s="22"/>
      <c r="Z5" s="20">
        <f t="shared" ref="Z5:Z32" si="1">(H5+X5)-Y5</f>
        <v>8638</v>
      </c>
      <c r="AA5" s="32">
        <f>Z5/19</f>
        <v>454.63157894736844</v>
      </c>
      <c r="AB5" s="19">
        <f>Z5/AA5</f>
        <v>19</v>
      </c>
      <c r="AC5" s="87"/>
    </row>
    <row r="6" spans="1:29" ht="15.75">
      <c r="A6" s="19">
        <v>3</v>
      </c>
      <c r="B6" s="20" t="s">
        <v>55</v>
      </c>
      <c r="C6" s="21" t="s">
        <v>16</v>
      </c>
      <c r="D6" s="20">
        <v>98790</v>
      </c>
      <c r="E6" s="20">
        <v>2672</v>
      </c>
      <c r="F6" s="90">
        <v>87116</v>
      </c>
      <c r="G6" s="19">
        <v>2672</v>
      </c>
      <c r="H6" s="90">
        <v>92056</v>
      </c>
      <c r="I6" s="20">
        <v>2487</v>
      </c>
      <c r="J6" s="20">
        <v>91926</v>
      </c>
      <c r="K6" s="20">
        <v>2483.5</v>
      </c>
      <c r="L6" s="20">
        <v>87634</v>
      </c>
      <c r="M6" s="20">
        <v>2367.5</v>
      </c>
      <c r="N6" s="20">
        <v>80197</v>
      </c>
      <c r="O6" s="20">
        <v>2166.5</v>
      </c>
      <c r="P6" s="20">
        <v>78902</v>
      </c>
      <c r="Q6" s="20">
        <v>2131.5</v>
      </c>
      <c r="R6" s="20">
        <v>77829</v>
      </c>
      <c r="S6" s="20">
        <v>2102.5</v>
      </c>
      <c r="T6" s="20">
        <v>77829</v>
      </c>
      <c r="U6" s="20">
        <v>2102.5</v>
      </c>
      <c r="V6" s="20">
        <v>81529</v>
      </c>
      <c r="W6" s="20">
        <v>2202.5</v>
      </c>
      <c r="X6" s="18">
        <f t="shared" si="0"/>
        <v>-3700</v>
      </c>
      <c r="Y6" s="22"/>
      <c r="Z6" s="20">
        <f t="shared" si="1"/>
        <v>88356</v>
      </c>
      <c r="AA6" s="32">
        <f>Z6/37</f>
        <v>2388</v>
      </c>
      <c r="AB6" s="19">
        <f t="shared" ref="AB6:AB32" si="2">Z6/AA6</f>
        <v>37</v>
      </c>
      <c r="AC6" s="87"/>
    </row>
    <row r="7" spans="1:29" ht="15.75">
      <c r="A7" s="19">
        <v>4</v>
      </c>
      <c r="B7" s="20" t="s">
        <v>55</v>
      </c>
      <c r="C7" s="21" t="s">
        <v>17</v>
      </c>
      <c r="D7" s="20">
        <v>20851</v>
      </c>
      <c r="E7" s="20">
        <v>1226.5</v>
      </c>
      <c r="F7" s="90">
        <v>20851</v>
      </c>
      <c r="G7" s="19">
        <v>1226.5</v>
      </c>
      <c r="H7" s="90">
        <v>20511</v>
      </c>
      <c r="I7" s="20">
        <v>1206.5</v>
      </c>
      <c r="J7" s="20">
        <v>21123</v>
      </c>
      <c r="K7" s="20">
        <v>1217</v>
      </c>
      <c r="L7" s="20">
        <v>20434</v>
      </c>
      <c r="M7" s="20">
        <v>1217</v>
      </c>
      <c r="N7" s="20">
        <v>20434</v>
      </c>
      <c r="O7" s="20">
        <v>1202</v>
      </c>
      <c r="P7" s="20">
        <v>19125</v>
      </c>
      <c r="Q7" s="20">
        <v>1125</v>
      </c>
      <c r="R7" s="20">
        <v>19125</v>
      </c>
      <c r="S7" s="20">
        <v>1125</v>
      </c>
      <c r="T7" s="20">
        <v>19125</v>
      </c>
      <c r="U7" s="20">
        <v>1125</v>
      </c>
      <c r="V7" s="20">
        <v>19516</v>
      </c>
      <c r="W7" s="20">
        <v>1148</v>
      </c>
      <c r="X7" s="18">
        <f t="shared" si="0"/>
        <v>-391</v>
      </c>
      <c r="Y7" s="22"/>
      <c r="Z7" s="20">
        <f t="shared" si="1"/>
        <v>20120</v>
      </c>
      <c r="AA7" s="182">
        <f>Z7/17</f>
        <v>1183.5294117647059</v>
      </c>
      <c r="AB7" s="19">
        <f t="shared" si="2"/>
        <v>17</v>
      </c>
      <c r="AC7" s="87"/>
    </row>
    <row r="8" spans="1:29" ht="15.75">
      <c r="A8" s="19">
        <v>5</v>
      </c>
      <c r="B8" s="20" t="s">
        <v>55</v>
      </c>
      <c r="C8" s="21" t="s">
        <v>18</v>
      </c>
      <c r="D8" s="20">
        <f>46745+12200</f>
        <v>58945</v>
      </c>
      <c r="E8" s="20">
        <f>9349+2440</f>
        <v>11789</v>
      </c>
      <c r="F8" s="90">
        <f>45470+12200</f>
        <v>57670</v>
      </c>
      <c r="G8" s="19">
        <f>9094+2440</f>
        <v>11534</v>
      </c>
      <c r="H8" s="90">
        <f>47710+12200</f>
        <v>59910</v>
      </c>
      <c r="I8" s="20">
        <f>9542+2440</f>
        <v>11982</v>
      </c>
      <c r="J8" s="20">
        <f>44720+12200</f>
        <v>56920</v>
      </c>
      <c r="K8" s="20">
        <f>8944+2440</f>
        <v>11384</v>
      </c>
      <c r="L8" s="20">
        <f>44145+12200</f>
        <v>56345</v>
      </c>
      <c r="M8" s="20">
        <f>8944+2440</f>
        <v>11384</v>
      </c>
      <c r="N8" s="20">
        <f>42520+12200</f>
        <v>54720</v>
      </c>
      <c r="O8" s="20">
        <f>8504+2440</f>
        <v>10944</v>
      </c>
      <c r="P8" s="20">
        <f>39705+12200</f>
        <v>51905</v>
      </c>
      <c r="Q8" s="20">
        <f>7941+2440</f>
        <v>10381</v>
      </c>
      <c r="R8" s="20">
        <f>38855+12200</f>
        <v>51055</v>
      </c>
      <c r="S8" s="20">
        <f>7771+2440</f>
        <v>10211</v>
      </c>
      <c r="T8" s="20">
        <f>38855+12200</f>
        <v>51055</v>
      </c>
      <c r="U8" s="20">
        <f>7771+2440</f>
        <v>10211</v>
      </c>
      <c r="V8" s="20">
        <f>39855+12200</f>
        <v>52055</v>
      </c>
      <c r="W8" s="20">
        <f>7971+2440</f>
        <v>10411</v>
      </c>
      <c r="X8" s="18">
        <f t="shared" si="0"/>
        <v>-1000</v>
      </c>
      <c r="Y8" s="22"/>
      <c r="Z8" s="20">
        <f t="shared" si="1"/>
        <v>58910</v>
      </c>
      <c r="AA8" s="32">
        <f>Z8/5</f>
        <v>11782</v>
      </c>
      <c r="AB8" s="19">
        <f t="shared" si="2"/>
        <v>5</v>
      </c>
      <c r="AC8" s="87"/>
    </row>
    <row r="9" spans="1:29" ht="15.75">
      <c r="A9" s="19">
        <v>6</v>
      </c>
      <c r="B9" s="20" t="s">
        <v>55</v>
      </c>
      <c r="C9" s="21" t="s">
        <v>19</v>
      </c>
      <c r="D9" s="20">
        <v>7462</v>
      </c>
      <c r="E9" s="20">
        <v>12437</v>
      </c>
      <c r="F9" s="90">
        <v>7442</v>
      </c>
      <c r="G9" s="19">
        <v>12425</v>
      </c>
      <c r="H9" s="90">
        <v>7392</v>
      </c>
      <c r="I9" s="20">
        <v>12395</v>
      </c>
      <c r="J9" s="20">
        <v>6861</v>
      </c>
      <c r="K9" s="20">
        <v>12086</v>
      </c>
      <c r="L9" s="20">
        <v>6711</v>
      </c>
      <c r="M9" s="20">
        <v>12086</v>
      </c>
      <c r="N9" s="20">
        <v>6706</v>
      </c>
      <c r="O9" s="20">
        <v>11993</v>
      </c>
      <c r="P9" s="20">
        <v>6668</v>
      </c>
      <c r="Q9" s="20">
        <v>11970</v>
      </c>
      <c r="R9" s="20">
        <v>6911</v>
      </c>
      <c r="S9" s="20">
        <v>11519</v>
      </c>
      <c r="T9" s="20">
        <v>6911</v>
      </c>
      <c r="U9" s="20">
        <v>11519</v>
      </c>
      <c r="V9" s="20">
        <v>7163</v>
      </c>
      <c r="W9" s="20">
        <v>11939</v>
      </c>
      <c r="X9" s="18">
        <f t="shared" si="0"/>
        <v>-252</v>
      </c>
      <c r="Y9" s="22"/>
      <c r="Z9" s="20">
        <f t="shared" si="1"/>
        <v>7140</v>
      </c>
      <c r="AA9" s="182">
        <f>Z9/0.6</f>
        <v>11900</v>
      </c>
      <c r="AB9" s="19">
        <f t="shared" si="2"/>
        <v>0.6</v>
      </c>
      <c r="AC9" s="87"/>
    </row>
    <row r="10" spans="1:29" ht="15.75">
      <c r="A10" s="19">
        <v>7</v>
      </c>
      <c r="B10" s="20" t="s">
        <v>55</v>
      </c>
      <c r="C10" s="24" t="s">
        <v>20</v>
      </c>
      <c r="D10" s="20">
        <v>28625</v>
      </c>
      <c r="E10" s="20">
        <v>5725</v>
      </c>
      <c r="F10" s="90">
        <v>26200</v>
      </c>
      <c r="G10" s="19">
        <v>5240</v>
      </c>
      <c r="H10" s="19">
        <v>28750</v>
      </c>
      <c r="I10" s="19">
        <v>5750</v>
      </c>
      <c r="J10" s="19">
        <v>27910</v>
      </c>
      <c r="K10" s="19">
        <v>5582</v>
      </c>
      <c r="L10" s="19">
        <v>26950</v>
      </c>
      <c r="M10" s="19">
        <v>5582</v>
      </c>
      <c r="N10" s="19">
        <v>25820</v>
      </c>
      <c r="O10" s="19">
        <v>5164</v>
      </c>
      <c r="P10" s="19">
        <v>23620</v>
      </c>
      <c r="Q10" s="19">
        <v>4724</v>
      </c>
      <c r="R10" s="19">
        <v>23270</v>
      </c>
      <c r="S10" s="19">
        <v>4654</v>
      </c>
      <c r="T10" s="19">
        <v>23270</v>
      </c>
      <c r="U10" s="19">
        <v>4654</v>
      </c>
      <c r="V10" s="19">
        <v>24480</v>
      </c>
      <c r="W10" s="19">
        <v>4896</v>
      </c>
      <c r="X10" s="18">
        <f t="shared" si="0"/>
        <v>-1210</v>
      </c>
      <c r="Y10" s="22"/>
      <c r="Z10" s="20">
        <f t="shared" si="1"/>
        <v>27540</v>
      </c>
      <c r="AA10" s="32">
        <f>Z10/5</f>
        <v>5508</v>
      </c>
      <c r="AB10" s="19">
        <f t="shared" si="2"/>
        <v>5</v>
      </c>
      <c r="AC10" s="87"/>
    </row>
    <row r="11" spans="1:29" ht="15.75">
      <c r="A11" s="19"/>
      <c r="B11" s="20" t="s">
        <v>55</v>
      </c>
      <c r="C11" s="24" t="s">
        <v>162</v>
      </c>
      <c r="D11" s="20"/>
      <c r="E11" s="20"/>
      <c r="F11" s="90"/>
      <c r="G11" s="19"/>
      <c r="H11" s="19"/>
      <c r="I11" s="19"/>
      <c r="J11" s="19">
        <v>1485</v>
      </c>
      <c r="K11" s="19">
        <v>297</v>
      </c>
      <c r="L11" s="19">
        <v>1485</v>
      </c>
      <c r="M11" s="19">
        <v>297</v>
      </c>
      <c r="N11" s="19">
        <v>1485</v>
      </c>
      <c r="O11" s="19">
        <v>297</v>
      </c>
      <c r="P11" s="19">
        <v>1485</v>
      </c>
      <c r="Q11" s="19">
        <v>297</v>
      </c>
      <c r="R11" s="19">
        <v>1485</v>
      </c>
      <c r="S11" s="19">
        <v>297</v>
      </c>
      <c r="T11" s="19">
        <v>1485</v>
      </c>
      <c r="U11" s="19">
        <v>297</v>
      </c>
      <c r="V11" s="19">
        <v>1485</v>
      </c>
      <c r="W11" s="19">
        <v>297</v>
      </c>
      <c r="X11" s="18">
        <f t="shared" si="0"/>
        <v>0</v>
      </c>
      <c r="Y11" s="22"/>
      <c r="Z11" s="20"/>
      <c r="AA11" s="32"/>
      <c r="AB11" s="19"/>
      <c r="AC11" s="87"/>
    </row>
    <row r="12" spans="1:29" ht="15.75">
      <c r="A12" s="19">
        <v>8</v>
      </c>
      <c r="B12" s="20" t="s">
        <v>55</v>
      </c>
      <c r="C12" s="24" t="s">
        <v>22</v>
      </c>
      <c r="D12" s="20">
        <v>24400</v>
      </c>
      <c r="E12" s="20">
        <v>4880</v>
      </c>
      <c r="F12" s="90">
        <v>22970</v>
      </c>
      <c r="G12" s="19">
        <v>4594</v>
      </c>
      <c r="H12" s="19">
        <v>25480</v>
      </c>
      <c r="I12" s="19">
        <v>5096</v>
      </c>
      <c r="J12" s="19">
        <v>27930</v>
      </c>
      <c r="K12" s="19">
        <v>5586</v>
      </c>
      <c r="L12" s="19">
        <v>30515</v>
      </c>
      <c r="M12" s="19">
        <v>5586</v>
      </c>
      <c r="N12" s="19">
        <v>32765</v>
      </c>
      <c r="O12" s="19">
        <v>6553</v>
      </c>
      <c r="P12" s="19">
        <v>32715</v>
      </c>
      <c r="Q12" s="19">
        <v>6543</v>
      </c>
      <c r="R12" s="19">
        <v>34250</v>
      </c>
      <c r="S12" s="19">
        <v>6850</v>
      </c>
      <c r="T12" s="19">
        <v>34250</v>
      </c>
      <c r="U12" s="19">
        <v>6850</v>
      </c>
      <c r="V12" s="19">
        <v>36150</v>
      </c>
      <c r="W12" s="19">
        <v>7230</v>
      </c>
      <c r="X12" s="18">
        <f t="shared" si="0"/>
        <v>-1900</v>
      </c>
      <c r="Y12" s="22"/>
      <c r="Z12" s="20">
        <f t="shared" si="1"/>
        <v>23580</v>
      </c>
      <c r="AA12" s="182">
        <f>Z12/5</f>
        <v>4716</v>
      </c>
      <c r="AB12" s="19">
        <f t="shared" si="2"/>
        <v>5</v>
      </c>
      <c r="AC12" s="87"/>
    </row>
    <row r="13" spans="1:29" ht="15.75">
      <c r="A13" s="19">
        <v>9</v>
      </c>
      <c r="B13" s="20" t="s">
        <v>55</v>
      </c>
      <c r="C13" s="24" t="s">
        <v>23</v>
      </c>
      <c r="D13" s="20">
        <v>161</v>
      </c>
      <c r="E13" s="20">
        <v>202</v>
      </c>
      <c r="F13" s="90">
        <v>161</v>
      </c>
      <c r="G13" s="19">
        <v>202</v>
      </c>
      <c r="H13" s="19">
        <v>561</v>
      </c>
      <c r="I13" s="19">
        <v>702</v>
      </c>
      <c r="J13" s="19">
        <v>1333</v>
      </c>
      <c r="K13" s="19">
        <v>1667</v>
      </c>
      <c r="L13" s="19">
        <v>1333</v>
      </c>
      <c r="M13" s="19">
        <v>1667</v>
      </c>
      <c r="N13" s="19">
        <v>1333</v>
      </c>
      <c r="O13" s="19">
        <v>1667</v>
      </c>
      <c r="P13" s="19">
        <v>1333</v>
      </c>
      <c r="Q13" s="19">
        <v>1667</v>
      </c>
      <c r="R13" s="19">
        <v>1333</v>
      </c>
      <c r="S13" s="19">
        <v>1667</v>
      </c>
      <c r="T13" s="19">
        <v>1333</v>
      </c>
      <c r="U13" s="19">
        <v>1667</v>
      </c>
      <c r="V13" s="19">
        <v>1533</v>
      </c>
      <c r="W13" s="19">
        <v>1917</v>
      </c>
      <c r="X13" s="18">
        <f t="shared" si="0"/>
        <v>-200</v>
      </c>
      <c r="Y13" s="22"/>
      <c r="Z13" s="20">
        <f t="shared" si="1"/>
        <v>361</v>
      </c>
      <c r="AA13" s="182">
        <f>Z13/0.8</f>
        <v>451.25</v>
      </c>
      <c r="AB13" s="19">
        <f t="shared" si="2"/>
        <v>0.8</v>
      </c>
      <c r="AC13" s="87"/>
    </row>
    <row r="14" spans="1:29" ht="15.75">
      <c r="A14" s="19">
        <v>10</v>
      </c>
      <c r="B14" s="20" t="s">
        <v>55</v>
      </c>
      <c r="C14" s="24" t="s">
        <v>25</v>
      </c>
      <c r="D14" s="20">
        <v>1200</v>
      </c>
      <c r="E14" s="20">
        <v>0</v>
      </c>
      <c r="F14" s="90">
        <v>1200</v>
      </c>
      <c r="G14" s="19">
        <v>0</v>
      </c>
      <c r="H14" s="19">
        <v>1200</v>
      </c>
      <c r="I14" s="19">
        <v>0</v>
      </c>
      <c r="J14" s="19">
        <v>1200</v>
      </c>
      <c r="K14" s="19">
        <v>0</v>
      </c>
      <c r="L14" s="19">
        <v>1200</v>
      </c>
      <c r="M14" s="19">
        <v>0</v>
      </c>
      <c r="N14" s="19">
        <v>1200</v>
      </c>
      <c r="O14" s="19">
        <v>0</v>
      </c>
      <c r="P14" s="19">
        <v>1200</v>
      </c>
      <c r="Q14" s="19">
        <v>0</v>
      </c>
      <c r="R14" s="19">
        <v>1200</v>
      </c>
      <c r="S14" s="19">
        <v>0</v>
      </c>
      <c r="T14" s="19">
        <v>1200</v>
      </c>
      <c r="U14" s="19">
        <v>0</v>
      </c>
      <c r="V14" s="19">
        <v>1200</v>
      </c>
      <c r="W14" s="19">
        <v>0</v>
      </c>
      <c r="X14" s="18">
        <f t="shared" si="0"/>
        <v>0</v>
      </c>
      <c r="Y14" s="22"/>
      <c r="Z14" s="20">
        <f t="shared" si="1"/>
        <v>1200</v>
      </c>
      <c r="AA14" s="32">
        <v>0</v>
      </c>
      <c r="AB14" s="19" t="e">
        <f t="shared" si="2"/>
        <v>#DIV/0!</v>
      </c>
      <c r="AC14" s="87"/>
    </row>
    <row r="15" spans="1:29" ht="15.75">
      <c r="A15" s="19">
        <v>11</v>
      </c>
      <c r="B15" s="20" t="s">
        <v>55</v>
      </c>
      <c r="C15" s="24" t="s">
        <v>26</v>
      </c>
      <c r="D15" s="20">
        <v>14461</v>
      </c>
      <c r="E15" s="20">
        <v>0</v>
      </c>
      <c r="F15" s="90">
        <v>14401</v>
      </c>
      <c r="G15" s="19">
        <v>0</v>
      </c>
      <c r="H15" s="19">
        <v>16561</v>
      </c>
      <c r="I15" s="19">
        <v>0</v>
      </c>
      <c r="J15" s="19">
        <v>19222</v>
      </c>
      <c r="K15" s="19">
        <v>0</v>
      </c>
      <c r="L15" s="19">
        <v>19122</v>
      </c>
      <c r="M15" s="19">
        <v>0</v>
      </c>
      <c r="N15" s="19">
        <v>18657</v>
      </c>
      <c r="O15" s="19">
        <v>0</v>
      </c>
      <c r="P15" s="19">
        <v>19388</v>
      </c>
      <c r="Q15" s="19">
        <v>0</v>
      </c>
      <c r="R15" s="19">
        <v>19238</v>
      </c>
      <c r="S15" s="19">
        <v>0</v>
      </c>
      <c r="T15" s="19">
        <v>19238</v>
      </c>
      <c r="U15" s="19">
        <v>0</v>
      </c>
      <c r="V15" s="19">
        <v>19718</v>
      </c>
      <c r="W15" s="19">
        <v>0</v>
      </c>
      <c r="X15" s="18">
        <f t="shared" si="0"/>
        <v>-480</v>
      </c>
      <c r="Y15" s="22"/>
      <c r="Z15" s="20">
        <f t="shared" si="1"/>
        <v>16081</v>
      </c>
      <c r="AA15" s="32">
        <v>0</v>
      </c>
      <c r="AB15" s="19" t="e">
        <f t="shared" si="2"/>
        <v>#DIV/0!</v>
      </c>
      <c r="AC15" s="87"/>
    </row>
    <row r="16" spans="1:29" ht="15.75">
      <c r="A16" s="19">
        <v>12</v>
      </c>
      <c r="B16" s="20" t="s">
        <v>55</v>
      </c>
      <c r="C16" s="21" t="s">
        <v>27</v>
      </c>
      <c r="D16" s="20">
        <v>0</v>
      </c>
      <c r="E16" s="20">
        <v>0</v>
      </c>
      <c r="F16" s="90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8">
        <f t="shared" si="0"/>
        <v>0</v>
      </c>
      <c r="Y16" s="22"/>
      <c r="Z16" s="20">
        <f t="shared" si="1"/>
        <v>0</v>
      </c>
      <c r="AA16" s="32">
        <v>0</v>
      </c>
      <c r="AB16" s="19" t="e">
        <f t="shared" si="2"/>
        <v>#DIV/0!</v>
      </c>
      <c r="AC16" s="87"/>
    </row>
    <row r="17" spans="1:29" ht="15.75">
      <c r="A17" s="19">
        <v>13</v>
      </c>
      <c r="B17" s="20" t="s">
        <v>55</v>
      </c>
      <c r="C17" s="25" t="s">
        <v>28</v>
      </c>
      <c r="D17" s="20">
        <v>35556</v>
      </c>
      <c r="E17" s="20">
        <v>2231</v>
      </c>
      <c r="F17" s="90">
        <v>34876</v>
      </c>
      <c r="G17" s="19">
        <v>2191</v>
      </c>
      <c r="H17" s="19">
        <v>34876</v>
      </c>
      <c r="I17" s="19">
        <v>2191</v>
      </c>
      <c r="J17" s="19">
        <v>57855</v>
      </c>
      <c r="K17" s="19">
        <v>3549</v>
      </c>
      <c r="L17" s="19">
        <v>58446</v>
      </c>
      <c r="M17" s="19">
        <v>3549</v>
      </c>
      <c r="N17" s="19">
        <v>58446</v>
      </c>
      <c r="O17" s="19">
        <v>3711</v>
      </c>
      <c r="P17" s="19">
        <v>60146</v>
      </c>
      <c r="Q17" s="19">
        <v>3811</v>
      </c>
      <c r="R17" s="19">
        <v>62254</v>
      </c>
      <c r="S17" s="19">
        <v>3935</v>
      </c>
      <c r="T17" s="19">
        <v>62254</v>
      </c>
      <c r="U17" s="19">
        <v>3935</v>
      </c>
      <c r="V17" s="19">
        <v>66266</v>
      </c>
      <c r="W17" s="19">
        <v>4171</v>
      </c>
      <c r="X17" s="18">
        <f t="shared" si="0"/>
        <v>-4012</v>
      </c>
      <c r="Y17" s="22"/>
      <c r="Z17" s="20">
        <f t="shared" si="1"/>
        <v>30864</v>
      </c>
      <c r="AA17" s="182">
        <f>Z17/17</f>
        <v>1815.5294117647059</v>
      </c>
      <c r="AB17" s="19">
        <f t="shared" si="2"/>
        <v>17</v>
      </c>
      <c r="AC17" s="87"/>
    </row>
    <row r="18" spans="1:29" ht="15.75">
      <c r="A18" s="19">
        <v>14</v>
      </c>
      <c r="B18" s="20" t="s">
        <v>55</v>
      </c>
      <c r="C18" s="25" t="s">
        <v>29</v>
      </c>
      <c r="D18" s="20">
        <v>90</v>
      </c>
      <c r="E18" s="20">
        <v>5</v>
      </c>
      <c r="F18" s="90">
        <v>90</v>
      </c>
      <c r="G18" s="19">
        <v>5</v>
      </c>
      <c r="H18" s="19">
        <v>90</v>
      </c>
      <c r="I18" s="19">
        <v>5</v>
      </c>
      <c r="J18" s="19">
        <v>90</v>
      </c>
      <c r="K18" s="19">
        <v>0</v>
      </c>
      <c r="L18" s="19">
        <v>90</v>
      </c>
      <c r="M18" s="19">
        <v>0</v>
      </c>
      <c r="N18" s="19">
        <v>90</v>
      </c>
      <c r="O18" s="19">
        <v>5</v>
      </c>
      <c r="P18" s="19">
        <v>90</v>
      </c>
      <c r="Q18" s="19">
        <v>0</v>
      </c>
      <c r="R18" s="19">
        <v>90</v>
      </c>
      <c r="S18" s="19">
        <v>5</v>
      </c>
      <c r="T18" s="19">
        <v>90</v>
      </c>
      <c r="U18" s="19">
        <v>5</v>
      </c>
      <c r="V18" s="19">
        <v>90</v>
      </c>
      <c r="W18" s="19">
        <v>5</v>
      </c>
      <c r="X18" s="18">
        <f t="shared" si="0"/>
        <v>0</v>
      </c>
      <c r="Y18" s="22"/>
      <c r="Z18" s="20">
        <f t="shared" si="1"/>
        <v>90</v>
      </c>
      <c r="AA18" s="182">
        <f>Z18/17</f>
        <v>5.2941176470588234</v>
      </c>
      <c r="AB18" s="19">
        <f t="shared" si="2"/>
        <v>17</v>
      </c>
      <c r="AC18" s="87"/>
    </row>
    <row r="19" spans="1:29" ht="15.75">
      <c r="A19" s="19">
        <v>15</v>
      </c>
      <c r="B19" s="20" t="s">
        <v>55</v>
      </c>
      <c r="C19" s="25" t="s">
        <v>30</v>
      </c>
      <c r="D19" s="20">
        <v>70444</v>
      </c>
      <c r="E19" s="20">
        <v>0</v>
      </c>
      <c r="F19" s="90">
        <v>69994</v>
      </c>
      <c r="G19" s="19">
        <v>0</v>
      </c>
      <c r="H19" s="19">
        <v>70494</v>
      </c>
      <c r="I19" s="19">
        <v>0</v>
      </c>
      <c r="J19" s="19">
        <v>95911</v>
      </c>
      <c r="K19" s="19">
        <v>0</v>
      </c>
      <c r="L19" s="19">
        <v>91874</v>
      </c>
      <c r="M19" s="19">
        <v>0</v>
      </c>
      <c r="N19" s="19">
        <v>93574</v>
      </c>
      <c r="O19" s="19">
        <v>0</v>
      </c>
      <c r="P19" s="19">
        <v>97586</v>
      </c>
      <c r="Q19" s="19">
        <v>0</v>
      </c>
      <c r="R19" s="19">
        <v>99706</v>
      </c>
      <c r="S19" s="19">
        <v>0</v>
      </c>
      <c r="T19" s="19">
        <v>99706</v>
      </c>
      <c r="U19" s="19">
        <v>0</v>
      </c>
      <c r="V19" s="19">
        <v>105466</v>
      </c>
      <c r="W19" s="19">
        <v>0</v>
      </c>
      <c r="X19" s="18">
        <f t="shared" si="0"/>
        <v>-5760</v>
      </c>
      <c r="Y19" s="22"/>
      <c r="Z19" s="20">
        <f t="shared" si="1"/>
        <v>64734</v>
      </c>
      <c r="AA19" s="32">
        <v>0</v>
      </c>
      <c r="AB19" s="19" t="e">
        <f t="shared" si="2"/>
        <v>#DIV/0!</v>
      </c>
      <c r="AC19" s="87"/>
    </row>
    <row r="20" spans="1:29" ht="15.75">
      <c r="A20" s="19">
        <v>16</v>
      </c>
      <c r="B20" s="20" t="s">
        <v>55</v>
      </c>
      <c r="C20" s="25" t="s">
        <v>31</v>
      </c>
      <c r="D20" s="20">
        <v>41656</v>
      </c>
      <c r="E20" s="20">
        <v>0</v>
      </c>
      <c r="F20" s="90">
        <v>41656</v>
      </c>
      <c r="G20" s="19">
        <v>0</v>
      </c>
      <c r="H20" s="19">
        <v>41656</v>
      </c>
      <c r="I20" s="19">
        <v>0</v>
      </c>
      <c r="J20" s="19">
        <v>58210</v>
      </c>
      <c r="K20" s="19">
        <v>0</v>
      </c>
      <c r="L20" s="19">
        <v>56904</v>
      </c>
      <c r="M20" s="19">
        <v>0</v>
      </c>
      <c r="N20" s="19">
        <v>57024</v>
      </c>
      <c r="O20" s="19">
        <v>0</v>
      </c>
      <c r="P20" s="19">
        <v>56813</v>
      </c>
      <c r="Q20" s="19">
        <v>0</v>
      </c>
      <c r="R20" s="19">
        <v>57617</v>
      </c>
      <c r="S20" s="19">
        <v>0</v>
      </c>
      <c r="T20" s="19">
        <v>57617</v>
      </c>
      <c r="U20" s="19">
        <v>0</v>
      </c>
      <c r="V20" s="19">
        <v>59446</v>
      </c>
      <c r="W20" s="19">
        <v>0</v>
      </c>
      <c r="X20" s="18">
        <f t="shared" si="0"/>
        <v>-1829</v>
      </c>
      <c r="Y20" s="22"/>
      <c r="Z20" s="20">
        <f t="shared" si="1"/>
        <v>39827</v>
      </c>
      <c r="AA20" s="32">
        <v>0</v>
      </c>
      <c r="AB20" s="19" t="e">
        <f t="shared" si="2"/>
        <v>#DIV/0!</v>
      </c>
      <c r="AC20" s="87"/>
    </row>
    <row r="21" spans="1:29" ht="15.75">
      <c r="A21" s="19">
        <v>17</v>
      </c>
      <c r="B21" s="20" t="s">
        <v>55</v>
      </c>
      <c r="C21" s="25" t="s">
        <v>129</v>
      </c>
      <c r="D21" s="20">
        <v>0</v>
      </c>
      <c r="E21" s="20">
        <v>0</v>
      </c>
      <c r="F21" s="90">
        <v>281</v>
      </c>
      <c r="G21" s="19">
        <v>0</v>
      </c>
      <c r="H21" s="19">
        <v>281</v>
      </c>
      <c r="I21" s="19">
        <v>0</v>
      </c>
      <c r="J21" s="19">
        <v>281</v>
      </c>
      <c r="K21" s="19">
        <v>0</v>
      </c>
      <c r="L21" s="19">
        <v>281</v>
      </c>
      <c r="M21" s="19">
        <v>0</v>
      </c>
      <c r="N21" s="19">
        <v>281</v>
      </c>
      <c r="O21" s="19">
        <v>0</v>
      </c>
      <c r="P21" s="19">
        <v>281</v>
      </c>
      <c r="Q21" s="19">
        <v>0</v>
      </c>
      <c r="R21" s="19">
        <v>281</v>
      </c>
      <c r="S21" s="19">
        <v>0</v>
      </c>
      <c r="T21" s="19">
        <v>281</v>
      </c>
      <c r="U21" s="19">
        <v>0</v>
      </c>
      <c r="V21" s="19">
        <v>281</v>
      </c>
      <c r="W21" s="19">
        <v>0</v>
      </c>
      <c r="X21" s="18">
        <f t="shared" si="0"/>
        <v>0</v>
      </c>
      <c r="Y21" s="22"/>
      <c r="Z21" s="20">
        <f t="shared" si="1"/>
        <v>281</v>
      </c>
      <c r="AA21" s="32">
        <v>0</v>
      </c>
      <c r="AB21" s="19" t="e">
        <f t="shared" si="2"/>
        <v>#DIV/0!</v>
      </c>
    </row>
    <row r="22" spans="1:29" ht="15.75">
      <c r="A22" s="19">
        <v>18</v>
      </c>
      <c r="B22" s="20" t="s">
        <v>55</v>
      </c>
      <c r="C22" s="25" t="s">
        <v>33</v>
      </c>
      <c r="D22" s="20">
        <v>14014</v>
      </c>
      <c r="E22" s="20">
        <v>0</v>
      </c>
      <c r="F22" s="90">
        <v>12858</v>
      </c>
      <c r="G22" s="19">
        <v>0</v>
      </c>
      <c r="H22" s="19">
        <v>12858</v>
      </c>
      <c r="I22" s="19">
        <v>0</v>
      </c>
      <c r="J22" s="19">
        <v>12108</v>
      </c>
      <c r="K22" s="19">
        <v>0</v>
      </c>
      <c r="L22" s="19">
        <v>11188</v>
      </c>
      <c r="M22" s="19">
        <v>0</v>
      </c>
      <c r="N22" s="19">
        <v>9538</v>
      </c>
      <c r="O22" s="19">
        <v>0</v>
      </c>
      <c r="P22" s="19">
        <v>8038</v>
      </c>
      <c r="Q22" s="19">
        <v>0</v>
      </c>
      <c r="R22" s="19">
        <v>7338</v>
      </c>
      <c r="S22" s="19">
        <v>0</v>
      </c>
      <c r="T22" s="19">
        <v>7338</v>
      </c>
      <c r="U22" s="19">
        <v>0</v>
      </c>
      <c r="V22" s="19">
        <v>7268</v>
      </c>
      <c r="W22" s="19">
        <v>0</v>
      </c>
      <c r="X22" s="18">
        <f t="shared" si="0"/>
        <v>70</v>
      </c>
      <c r="Y22" s="22"/>
      <c r="Z22" s="20">
        <f t="shared" si="1"/>
        <v>12928</v>
      </c>
      <c r="AA22" s="32">
        <v>0</v>
      </c>
      <c r="AB22" s="19" t="e">
        <f t="shared" si="2"/>
        <v>#DIV/0!</v>
      </c>
      <c r="AC22" s="87"/>
    </row>
    <row r="23" spans="1:29" ht="15.75">
      <c r="A23" s="19">
        <v>19</v>
      </c>
      <c r="B23" s="181" t="s">
        <v>55</v>
      </c>
      <c r="C23" s="25" t="s">
        <v>34</v>
      </c>
      <c r="D23" s="20">
        <v>0</v>
      </c>
      <c r="E23" s="20">
        <v>0</v>
      </c>
      <c r="F23" s="90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8">
        <f t="shared" si="0"/>
        <v>0</v>
      </c>
      <c r="Y23" s="22"/>
      <c r="Z23" s="20">
        <f t="shared" si="1"/>
        <v>0</v>
      </c>
      <c r="AA23" s="32">
        <v>0</v>
      </c>
      <c r="AB23" s="19" t="e">
        <f t="shared" si="2"/>
        <v>#DIV/0!</v>
      </c>
    </row>
    <row r="24" spans="1:29" ht="15.75">
      <c r="A24" s="19">
        <v>20</v>
      </c>
      <c r="B24" s="20" t="s">
        <v>55</v>
      </c>
      <c r="C24" s="25" t="s">
        <v>35</v>
      </c>
      <c r="D24" s="20">
        <v>0</v>
      </c>
      <c r="E24" s="20">
        <v>0</v>
      </c>
      <c r="F24" s="90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8">
        <f t="shared" si="0"/>
        <v>0</v>
      </c>
      <c r="Y24" s="22"/>
      <c r="Z24" s="20">
        <f t="shared" si="1"/>
        <v>0</v>
      </c>
      <c r="AA24" s="32">
        <v>0</v>
      </c>
      <c r="AB24" s="19" t="e">
        <f t="shared" si="2"/>
        <v>#DIV/0!</v>
      </c>
    </row>
    <row r="25" spans="1:29" ht="15.75">
      <c r="A25" s="19">
        <v>21</v>
      </c>
      <c r="B25" s="20" t="s">
        <v>55</v>
      </c>
      <c r="C25" s="25" t="s">
        <v>36</v>
      </c>
      <c r="D25" s="20">
        <v>0</v>
      </c>
      <c r="E25" s="20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8">
        <f t="shared" si="0"/>
        <v>0</v>
      </c>
      <c r="Y25" s="22"/>
      <c r="Z25" s="20">
        <f t="shared" si="1"/>
        <v>0</v>
      </c>
      <c r="AA25" s="32">
        <v>0</v>
      </c>
      <c r="AB25" s="19" t="e">
        <f t="shared" si="2"/>
        <v>#DIV/0!</v>
      </c>
    </row>
    <row r="26" spans="1:29" ht="15.75">
      <c r="A26" s="19">
        <v>22</v>
      </c>
      <c r="B26" s="20" t="s">
        <v>55</v>
      </c>
      <c r="C26" s="25" t="s">
        <v>37</v>
      </c>
      <c r="D26" s="20">
        <v>4480</v>
      </c>
      <c r="E26" s="20">
        <v>0</v>
      </c>
      <c r="F26" s="19">
        <v>4480</v>
      </c>
      <c r="G26" s="19">
        <v>0</v>
      </c>
      <c r="H26" s="19">
        <v>4465</v>
      </c>
      <c r="I26" s="19">
        <v>0</v>
      </c>
      <c r="J26" s="19">
        <v>4755</v>
      </c>
      <c r="K26" s="19">
        <v>0</v>
      </c>
      <c r="L26" s="19">
        <v>4695</v>
      </c>
      <c r="M26" s="19">
        <v>0</v>
      </c>
      <c r="N26" s="19">
        <v>4650</v>
      </c>
      <c r="O26" s="19">
        <v>0</v>
      </c>
      <c r="P26" s="19">
        <v>4792</v>
      </c>
      <c r="Q26" s="19">
        <v>0</v>
      </c>
      <c r="R26" s="19">
        <v>3932</v>
      </c>
      <c r="S26" s="19">
        <v>0</v>
      </c>
      <c r="T26" s="19">
        <v>3932</v>
      </c>
      <c r="U26" s="19">
        <v>0</v>
      </c>
      <c r="V26" s="19">
        <v>4252</v>
      </c>
      <c r="W26" s="19">
        <v>0</v>
      </c>
      <c r="X26" s="18">
        <f t="shared" si="0"/>
        <v>-320</v>
      </c>
      <c r="Y26" s="22"/>
      <c r="Z26" s="20">
        <f t="shared" si="1"/>
        <v>4145</v>
      </c>
      <c r="AA26" s="32">
        <v>0</v>
      </c>
      <c r="AB26" s="19" t="e">
        <f t="shared" si="2"/>
        <v>#DIV/0!</v>
      </c>
      <c r="AC26" s="87"/>
    </row>
    <row r="27" spans="1:29" ht="15.75">
      <c r="A27" s="19">
        <v>23</v>
      </c>
      <c r="B27" s="20" t="s">
        <v>55</v>
      </c>
      <c r="C27" s="21" t="s">
        <v>38</v>
      </c>
      <c r="D27" s="26">
        <f>E27*3</f>
        <v>300</v>
      </c>
      <c r="E27" s="26">
        <v>100</v>
      </c>
      <c r="F27" s="19">
        <v>80</v>
      </c>
      <c r="G27" s="19">
        <v>100</v>
      </c>
      <c r="H27" s="19">
        <v>300</v>
      </c>
      <c r="I27" s="19">
        <v>100</v>
      </c>
      <c r="J27" s="19">
        <v>80</v>
      </c>
      <c r="K27" s="19">
        <v>100</v>
      </c>
      <c r="L27" s="19">
        <v>80</v>
      </c>
      <c r="M27" s="19">
        <v>100</v>
      </c>
      <c r="N27" s="19">
        <v>80</v>
      </c>
      <c r="O27" s="19">
        <v>100</v>
      </c>
      <c r="P27" s="19">
        <v>80</v>
      </c>
      <c r="Q27" s="19">
        <v>100</v>
      </c>
      <c r="R27" s="19">
        <v>80</v>
      </c>
      <c r="S27" s="19">
        <v>100</v>
      </c>
      <c r="T27" s="19">
        <v>80</v>
      </c>
      <c r="U27" s="19">
        <v>100</v>
      </c>
      <c r="V27" s="19">
        <v>80</v>
      </c>
      <c r="W27" s="19">
        <v>100</v>
      </c>
      <c r="X27" s="18">
        <f t="shared" si="0"/>
        <v>0</v>
      </c>
      <c r="Y27" s="22"/>
      <c r="Z27" s="20">
        <f t="shared" si="1"/>
        <v>300</v>
      </c>
      <c r="AA27" s="32">
        <f>Z27/3</f>
        <v>100</v>
      </c>
      <c r="AB27" s="19">
        <f t="shared" si="2"/>
        <v>3</v>
      </c>
    </row>
    <row r="28" spans="1:29" ht="15.75">
      <c r="A28" s="19">
        <v>24</v>
      </c>
      <c r="B28" s="20" t="s">
        <v>55</v>
      </c>
      <c r="C28" s="21" t="s">
        <v>39</v>
      </c>
      <c r="D28" s="27">
        <v>690</v>
      </c>
      <c r="E28" s="27">
        <v>493</v>
      </c>
      <c r="F28" s="19">
        <v>690</v>
      </c>
      <c r="G28" s="19">
        <v>493</v>
      </c>
      <c r="H28" s="19">
        <v>690</v>
      </c>
      <c r="I28" s="19">
        <v>493</v>
      </c>
      <c r="J28" s="19">
        <f>K28*1.4</f>
        <v>830.19999999999993</v>
      </c>
      <c r="K28" s="19">
        <v>593</v>
      </c>
      <c r="L28" s="19">
        <f>M28*1.4</f>
        <v>830.19999999999993</v>
      </c>
      <c r="M28" s="19">
        <v>593</v>
      </c>
      <c r="N28" s="19">
        <v>830</v>
      </c>
      <c r="O28" s="19">
        <v>593</v>
      </c>
      <c r="P28" s="19">
        <v>830</v>
      </c>
      <c r="Q28" s="19">
        <v>593</v>
      </c>
      <c r="R28" s="19">
        <f>S28*1.4</f>
        <v>824.59999999999991</v>
      </c>
      <c r="S28" s="19">
        <v>589</v>
      </c>
      <c r="T28" s="19">
        <f>U28*1.4</f>
        <v>824.59999999999991</v>
      </c>
      <c r="U28" s="19">
        <v>589</v>
      </c>
      <c r="V28" s="19">
        <v>671</v>
      </c>
      <c r="W28" s="19">
        <v>479</v>
      </c>
      <c r="X28" s="18">
        <f t="shared" si="0"/>
        <v>153.59999999999991</v>
      </c>
      <c r="Y28" s="22"/>
      <c r="Z28" s="20">
        <f t="shared" si="1"/>
        <v>843.59999999999991</v>
      </c>
      <c r="AA28" s="32">
        <f>Z28/1.4</f>
        <v>602.57142857142856</v>
      </c>
      <c r="AB28" s="19">
        <f t="shared" si="2"/>
        <v>1.4</v>
      </c>
    </row>
    <row r="29" spans="1:29" ht="15.75">
      <c r="A29" s="19">
        <v>25</v>
      </c>
      <c r="B29" s="20" t="s">
        <v>55</v>
      </c>
      <c r="C29" s="21" t="s">
        <v>40</v>
      </c>
      <c r="D29" s="27">
        <v>10</v>
      </c>
      <c r="E29" s="27">
        <v>100</v>
      </c>
      <c r="F29" s="19">
        <v>10</v>
      </c>
      <c r="G29" s="19">
        <v>100</v>
      </c>
      <c r="H29" s="19">
        <v>10</v>
      </c>
      <c r="I29" s="19">
        <v>100</v>
      </c>
      <c r="J29" s="19">
        <f>K29*0.4</f>
        <v>40</v>
      </c>
      <c r="K29" s="19">
        <v>100</v>
      </c>
      <c r="L29" s="19">
        <f>M29*0.4</f>
        <v>40</v>
      </c>
      <c r="M29" s="19">
        <v>100</v>
      </c>
      <c r="N29" s="19">
        <v>40</v>
      </c>
      <c r="O29" s="19">
        <v>100</v>
      </c>
      <c r="P29" s="19">
        <v>10</v>
      </c>
      <c r="Q29" s="19">
        <v>100</v>
      </c>
      <c r="R29" s="19">
        <v>10</v>
      </c>
      <c r="S29" s="19">
        <v>100</v>
      </c>
      <c r="T29" s="19">
        <v>10</v>
      </c>
      <c r="U29" s="19">
        <v>100</v>
      </c>
      <c r="V29" s="19">
        <v>10</v>
      </c>
      <c r="W29" s="19">
        <v>100</v>
      </c>
      <c r="X29" s="18">
        <f t="shared" si="0"/>
        <v>0</v>
      </c>
      <c r="Y29" s="22"/>
      <c r="Z29" s="20">
        <f t="shared" si="1"/>
        <v>10</v>
      </c>
      <c r="AA29" s="32">
        <f>Z29/0.4</f>
        <v>25</v>
      </c>
      <c r="AB29" s="19">
        <f t="shared" si="2"/>
        <v>0.4</v>
      </c>
    </row>
    <row r="30" spans="1:29" ht="15.75">
      <c r="A30" s="19">
        <v>26</v>
      </c>
      <c r="B30" s="20" t="s">
        <v>55</v>
      </c>
      <c r="C30" s="21" t="s">
        <v>41</v>
      </c>
      <c r="D30" s="27">
        <v>0</v>
      </c>
      <c r="E30" s="27">
        <v>0</v>
      </c>
      <c r="F30" s="28">
        <v>0</v>
      </c>
      <c r="G30" s="19">
        <v>0</v>
      </c>
      <c r="H30" s="19">
        <v>0</v>
      </c>
      <c r="I30" s="19">
        <v>120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8">
        <f t="shared" si="0"/>
        <v>0</v>
      </c>
      <c r="Y30" s="22"/>
      <c r="Z30" s="20">
        <f t="shared" si="1"/>
        <v>0</v>
      </c>
      <c r="AA30" s="32">
        <v>120</v>
      </c>
      <c r="AB30" s="19">
        <f t="shared" si="2"/>
        <v>0</v>
      </c>
    </row>
    <row r="31" spans="1:29" ht="15.75">
      <c r="A31" s="19">
        <v>27</v>
      </c>
      <c r="B31" s="20" t="s">
        <v>55</v>
      </c>
      <c r="C31" s="21" t="s">
        <v>42</v>
      </c>
      <c r="D31" s="27">
        <v>71</v>
      </c>
      <c r="E31" s="27">
        <v>120</v>
      </c>
      <c r="F31" s="19">
        <v>71</v>
      </c>
      <c r="G31" s="19">
        <v>120</v>
      </c>
      <c r="H31" s="19">
        <v>71</v>
      </c>
      <c r="I31" s="19">
        <v>0</v>
      </c>
      <c r="J31" s="19">
        <f>K31*0.6</f>
        <v>78</v>
      </c>
      <c r="K31" s="19">
        <v>130</v>
      </c>
      <c r="L31" s="19">
        <f>M31*0.6</f>
        <v>78</v>
      </c>
      <c r="M31" s="19">
        <v>130</v>
      </c>
      <c r="N31" s="19">
        <v>64</v>
      </c>
      <c r="O31" s="19">
        <v>110</v>
      </c>
      <c r="P31" s="19">
        <v>64</v>
      </c>
      <c r="Q31" s="19">
        <v>110</v>
      </c>
      <c r="R31" s="19">
        <v>64</v>
      </c>
      <c r="S31" s="19">
        <v>110</v>
      </c>
      <c r="T31" s="19">
        <v>64</v>
      </c>
      <c r="U31" s="19">
        <v>110</v>
      </c>
      <c r="V31" s="19">
        <v>64</v>
      </c>
      <c r="W31" s="19">
        <v>110</v>
      </c>
      <c r="X31" s="18">
        <f t="shared" si="0"/>
        <v>0</v>
      </c>
      <c r="Y31" s="22"/>
      <c r="Z31" s="20">
        <f t="shared" si="1"/>
        <v>71</v>
      </c>
      <c r="AA31" s="32">
        <f>Z31/0.6</f>
        <v>118.33333333333334</v>
      </c>
      <c r="AB31" s="19">
        <f t="shared" si="2"/>
        <v>0.6</v>
      </c>
    </row>
    <row r="32" spans="1:29" ht="15.75">
      <c r="A32" s="19">
        <v>31</v>
      </c>
      <c r="B32" s="20" t="s">
        <v>55</v>
      </c>
      <c r="C32" s="21" t="s">
        <v>43</v>
      </c>
      <c r="D32" s="27">
        <v>0</v>
      </c>
      <c r="E32" s="27">
        <v>928</v>
      </c>
      <c r="F32" s="28"/>
      <c r="G32" s="19">
        <v>0</v>
      </c>
      <c r="H32" s="19">
        <v>0</v>
      </c>
      <c r="I32" s="19">
        <v>928</v>
      </c>
      <c r="J32" s="19">
        <v>0</v>
      </c>
      <c r="K32" s="19">
        <v>928</v>
      </c>
      <c r="L32" s="19">
        <v>0</v>
      </c>
      <c r="M32" s="19">
        <v>928</v>
      </c>
      <c r="N32" s="19">
        <v>0</v>
      </c>
      <c r="O32" s="19">
        <v>1028</v>
      </c>
      <c r="P32" s="19">
        <v>0</v>
      </c>
      <c r="Q32" s="19">
        <v>1028</v>
      </c>
      <c r="R32" s="19">
        <v>0</v>
      </c>
      <c r="S32" s="19">
        <v>1028</v>
      </c>
      <c r="T32" s="19">
        <v>0</v>
      </c>
      <c r="U32" s="19">
        <v>1028</v>
      </c>
      <c r="V32" s="19">
        <v>0</v>
      </c>
      <c r="W32" s="19">
        <v>1028</v>
      </c>
      <c r="X32" s="18">
        <f t="shared" si="0"/>
        <v>0</v>
      </c>
      <c r="Y32" s="22"/>
      <c r="Z32" s="20">
        <f t="shared" si="1"/>
        <v>0</v>
      </c>
      <c r="AA32" s="32">
        <v>0</v>
      </c>
      <c r="AB32" s="19" t="e">
        <f t="shared" si="2"/>
        <v>#DIV/0!</v>
      </c>
    </row>
    <row r="33" spans="1:31">
      <c r="A33" s="20"/>
      <c r="B33" s="20"/>
      <c r="C33" s="20"/>
      <c r="D33" s="30">
        <f>SUM(D4:D32)</f>
        <v>604398</v>
      </c>
      <c r="E33" s="30"/>
      <c r="F33" s="22">
        <f>SUM(F4:F31)</f>
        <v>574621</v>
      </c>
      <c r="G33" s="19"/>
      <c r="H33" s="19">
        <f t="shared" ref="H33:M33" si="3">SUM(H4:H32)</f>
        <v>596079</v>
      </c>
      <c r="I33" s="19">
        <f t="shared" si="3"/>
        <v>43878.5</v>
      </c>
      <c r="J33" s="19">
        <f t="shared" si="3"/>
        <v>691943.2</v>
      </c>
      <c r="K33" s="19">
        <f t="shared" si="3"/>
        <v>46461.5</v>
      </c>
      <c r="L33" s="19">
        <f t="shared" si="3"/>
        <v>684020.2</v>
      </c>
      <c r="M33" s="19">
        <f t="shared" si="3"/>
        <v>46340.5</v>
      </c>
      <c r="N33" s="102">
        <f t="shared" ref="N33:S33" si="4">SUM(N4:N32)</f>
        <v>656905</v>
      </c>
      <c r="O33" s="19">
        <f t="shared" si="4"/>
        <v>46367.5</v>
      </c>
      <c r="P33" s="19">
        <f t="shared" si="4"/>
        <v>658859</v>
      </c>
      <c r="Q33" s="19">
        <f t="shared" si="4"/>
        <v>45309.5</v>
      </c>
      <c r="R33" s="19">
        <f t="shared" si="4"/>
        <v>661032.6</v>
      </c>
      <c r="S33" s="19">
        <f t="shared" si="4"/>
        <v>45003.5</v>
      </c>
      <c r="T33" s="19">
        <f>SUM(T4:T32)</f>
        <v>661032.6</v>
      </c>
      <c r="U33" s="19">
        <f t="shared" ref="U33" si="5">SUM(U4:U32)</f>
        <v>45003.5</v>
      </c>
      <c r="V33" s="102">
        <f>SUM(V4:V32)</f>
        <v>680838</v>
      </c>
      <c r="W33" s="102">
        <f>SUM(W4:W32)</f>
        <v>46734.5</v>
      </c>
      <c r="X33" s="20"/>
      <c r="Y33" s="31"/>
      <c r="Z33" s="175">
        <f>SUM(Z4:Z32)</f>
        <v>576273.6</v>
      </c>
      <c r="AA33" s="183">
        <f>SUM(AA5:AA32)</f>
        <v>41170.139282028598</v>
      </c>
      <c r="AB33" s="28"/>
      <c r="AD33">
        <f>33994-10500</f>
        <v>23494</v>
      </c>
      <c r="AE33">
        <f>X33-AD33</f>
        <v>-23494</v>
      </c>
    </row>
    <row r="34" spans="1:3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79"/>
      <c r="Q34" s="28"/>
      <c r="R34" s="28"/>
      <c r="S34" s="28"/>
      <c r="T34" s="28"/>
      <c r="U34" s="28"/>
      <c r="V34" s="28"/>
      <c r="W34" s="28"/>
      <c r="X34" s="28"/>
      <c r="Y34" s="20"/>
      <c r="Z34" s="20"/>
      <c r="AA34" s="28"/>
      <c r="AB34" s="28"/>
    </row>
    <row r="35" spans="1:31">
      <c r="E35" s="43">
        <f>D33-F33</f>
        <v>29777</v>
      </c>
      <c r="F35" s="43">
        <f>X33-E35</f>
        <v>-29777</v>
      </c>
      <c r="Z35" s="35"/>
    </row>
    <row r="36" spans="1:31">
      <c r="K36" s="241"/>
    </row>
    <row r="37" spans="1:31">
      <c r="K37" s="241"/>
    </row>
    <row r="39" spans="1:31">
      <c r="M39" s="241"/>
    </row>
  </sheetData>
  <mergeCells count="11">
    <mergeCell ref="A1:AB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" right="0.42" top="0.5" bottom="0.75" header="0.3" footer="0.3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X43"/>
  <sheetViews>
    <sheetView topLeftCell="A15" zoomScale="115" zoomScaleNormal="115" workbookViewId="0">
      <selection activeCell="R4" sqref="R4:R40"/>
    </sheetView>
  </sheetViews>
  <sheetFormatPr defaultColWidth="9" defaultRowHeight="15"/>
  <cols>
    <col min="2" max="2" width="16.42578125" customWidth="1"/>
    <col min="3" max="3" width="26" customWidth="1"/>
    <col min="4" max="4" width="12.42578125" hidden="1" customWidth="1"/>
    <col min="5" max="5" width="12.85546875" hidden="1" customWidth="1"/>
    <col min="6" max="6" width="12.42578125" hidden="1" customWidth="1"/>
    <col min="7" max="15" width="12.7109375" hidden="1" customWidth="1"/>
    <col min="16" max="19" width="12.7109375" customWidth="1"/>
    <col min="20" max="20" width="14.140625" customWidth="1"/>
    <col min="21" max="21" width="13.140625" bestFit="1" customWidth="1"/>
    <col min="22" max="22" width="16.5703125" bestFit="1" customWidth="1"/>
    <col min="23" max="23" width="12.28515625" bestFit="1" customWidth="1"/>
  </cols>
  <sheetData>
    <row r="1" spans="1:24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</row>
    <row r="2" spans="1:24" ht="55.5" customHeight="1">
      <c r="A2" s="108"/>
      <c r="B2" s="108"/>
      <c r="C2" s="108"/>
      <c r="D2" s="289" t="s">
        <v>123</v>
      </c>
      <c r="E2" s="290"/>
      <c r="F2" s="289" t="s">
        <v>145</v>
      </c>
      <c r="G2" s="290"/>
      <c r="H2" s="289" t="s">
        <v>161</v>
      </c>
      <c r="I2" s="290"/>
      <c r="J2" s="289" t="s">
        <v>171</v>
      </c>
      <c r="K2" s="290"/>
      <c r="L2" s="289" t="s">
        <v>232</v>
      </c>
      <c r="M2" s="290"/>
      <c r="N2" s="289" t="s">
        <v>240</v>
      </c>
      <c r="O2" s="290"/>
      <c r="P2" s="289" t="s">
        <v>243</v>
      </c>
      <c r="Q2" s="290"/>
      <c r="R2" s="289" t="s">
        <v>247</v>
      </c>
      <c r="S2" s="290"/>
      <c r="T2" s="162" t="s">
        <v>150</v>
      </c>
      <c r="U2" s="162" t="s">
        <v>150</v>
      </c>
      <c r="V2" s="108" t="s">
        <v>153</v>
      </c>
      <c r="W2" s="108"/>
      <c r="X2" s="108"/>
    </row>
    <row r="3" spans="1:24" ht="15.75">
      <c r="A3" s="20" t="s">
        <v>1</v>
      </c>
      <c r="B3" s="20" t="s">
        <v>2</v>
      </c>
      <c r="C3" s="20" t="s">
        <v>3</v>
      </c>
      <c r="D3" s="20" t="s">
        <v>4</v>
      </c>
      <c r="E3" s="20" t="s">
        <v>111</v>
      </c>
      <c r="F3" s="20" t="s">
        <v>4</v>
      </c>
      <c r="G3" s="20" t="s">
        <v>111</v>
      </c>
      <c r="H3" s="177" t="s">
        <v>4</v>
      </c>
      <c r="I3" s="177" t="s">
        <v>109</v>
      </c>
      <c r="J3" s="177" t="s">
        <v>4</v>
      </c>
      <c r="K3" s="177" t="s">
        <v>109</v>
      </c>
      <c r="L3" s="177" t="s">
        <v>4</v>
      </c>
      <c r="M3" s="177" t="s">
        <v>109</v>
      </c>
      <c r="N3" s="177" t="s">
        <v>4</v>
      </c>
      <c r="O3" s="177" t="s">
        <v>109</v>
      </c>
      <c r="P3" s="177" t="s">
        <v>4</v>
      </c>
      <c r="Q3" s="177" t="s">
        <v>109</v>
      </c>
      <c r="R3" s="177" t="s">
        <v>4</v>
      </c>
      <c r="S3" s="177" t="s">
        <v>109</v>
      </c>
      <c r="T3" s="18" t="s">
        <v>125</v>
      </c>
      <c r="U3" s="18" t="s">
        <v>8</v>
      </c>
      <c r="V3" s="20" t="s">
        <v>10</v>
      </c>
      <c r="W3" s="37" t="s">
        <v>59</v>
      </c>
      <c r="X3" s="20" t="s">
        <v>74</v>
      </c>
    </row>
    <row r="4" spans="1:24" ht="15.75">
      <c r="A4" s="19">
        <v>1</v>
      </c>
      <c r="B4" s="20" t="s">
        <v>70</v>
      </c>
      <c r="C4" s="21" t="s">
        <v>14</v>
      </c>
      <c r="D4" s="20">
        <v>1635</v>
      </c>
      <c r="E4" s="20">
        <v>0</v>
      </c>
      <c r="F4" s="20">
        <v>2435</v>
      </c>
      <c r="G4" s="31">
        <v>0</v>
      </c>
      <c r="H4" s="31">
        <v>13125</v>
      </c>
      <c r="I4" s="31">
        <v>0</v>
      </c>
      <c r="J4" s="31">
        <v>13125</v>
      </c>
      <c r="K4" s="31">
        <v>0</v>
      </c>
      <c r="L4" s="31">
        <v>15317</v>
      </c>
      <c r="M4" s="31">
        <v>0</v>
      </c>
      <c r="N4" s="31">
        <v>15317</v>
      </c>
      <c r="O4" s="31">
        <v>0</v>
      </c>
      <c r="P4" s="31">
        <v>15317</v>
      </c>
      <c r="Q4" s="31">
        <v>0</v>
      </c>
      <c r="R4" s="31">
        <v>15076</v>
      </c>
      <c r="S4" s="31">
        <v>378</v>
      </c>
      <c r="T4" s="22">
        <f>P4-R4</f>
        <v>241</v>
      </c>
      <c r="U4" s="22"/>
      <c r="V4" s="41">
        <v>0</v>
      </c>
      <c r="W4" s="37"/>
      <c r="X4" s="28"/>
    </row>
    <row r="5" spans="1:24" ht="15.75">
      <c r="A5" s="19">
        <v>2</v>
      </c>
      <c r="B5" s="20" t="s">
        <v>70</v>
      </c>
      <c r="C5" s="21" t="s">
        <v>15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6631</v>
      </c>
      <c r="M5" s="19">
        <v>349</v>
      </c>
      <c r="N5" s="19">
        <v>6631</v>
      </c>
      <c r="O5" s="19">
        <v>349</v>
      </c>
      <c r="P5" s="19">
        <v>6631</v>
      </c>
      <c r="Q5" s="19">
        <v>349</v>
      </c>
      <c r="R5" s="19">
        <f>5214+4940</f>
        <v>10154</v>
      </c>
      <c r="S5" s="286" t="s">
        <v>249</v>
      </c>
      <c r="T5" s="22">
        <f t="shared" ref="T5:T38" si="0">P5-R5</f>
        <v>-3523</v>
      </c>
      <c r="U5" s="23"/>
      <c r="V5" s="41">
        <f t="shared" ref="V5:V40" si="1">(F5+T5)-U5</f>
        <v>-3523</v>
      </c>
      <c r="W5" s="37">
        <f>V5/19</f>
        <v>-185.42105263157896</v>
      </c>
      <c r="X5" s="28"/>
    </row>
    <row r="6" spans="1:24" ht="15.75">
      <c r="A6" s="37">
        <v>3</v>
      </c>
      <c r="B6" s="20" t="s">
        <v>70</v>
      </c>
      <c r="C6" s="25" t="s">
        <v>16</v>
      </c>
      <c r="D6" s="37">
        <v>740</v>
      </c>
      <c r="E6" s="37">
        <v>0</v>
      </c>
      <c r="F6" s="37">
        <v>740</v>
      </c>
      <c r="G6" s="37">
        <v>20</v>
      </c>
      <c r="H6" s="37">
        <v>1221</v>
      </c>
      <c r="I6" s="37">
        <v>0</v>
      </c>
      <c r="J6" s="37">
        <v>1221</v>
      </c>
      <c r="K6" s="37">
        <v>0</v>
      </c>
      <c r="L6" s="37">
        <v>1147</v>
      </c>
      <c r="M6" s="37">
        <v>0</v>
      </c>
      <c r="N6" s="37">
        <v>1147</v>
      </c>
      <c r="O6" s="37">
        <v>0</v>
      </c>
      <c r="P6" s="37">
        <v>1147</v>
      </c>
      <c r="Q6" s="37">
        <v>0</v>
      </c>
      <c r="R6" s="37">
        <v>1332</v>
      </c>
      <c r="S6" s="287">
        <v>36</v>
      </c>
      <c r="T6" s="22">
        <f t="shared" si="0"/>
        <v>-185</v>
      </c>
      <c r="U6" s="23"/>
      <c r="V6" s="41">
        <f t="shared" si="1"/>
        <v>555</v>
      </c>
      <c r="W6" s="37">
        <f>V6/37</f>
        <v>15</v>
      </c>
      <c r="X6" s="28"/>
    </row>
    <row r="7" spans="1:24" ht="15.75">
      <c r="A7" s="19">
        <v>4</v>
      </c>
      <c r="B7" s="20" t="s">
        <v>70</v>
      </c>
      <c r="C7" s="21" t="s">
        <v>17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22">
        <f t="shared" si="0"/>
        <v>0</v>
      </c>
      <c r="U7" s="23"/>
      <c r="V7" s="41">
        <f t="shared" si="1"/>
        <v>0</v>
      </c>
      <c r="W7" s="37"/>
      <c r="X7" s="28"/>
    </row>
    <row r="8" spans="1:24" ht="15.75">
      <c r="A8" s="19">
        <v>5</v>
      </c>
      <c r="B8" s="20" t="s">
        <v>70</v>
      </c>
      <c r="C8" s="21" t="s">
        <v>18</v>
      </c>
      <c r="D8" s="19">
        <v>200</v>
      </c>
      <c r="E8" s="19">
        <v>40</v>
      </c>
      <c r="F8" s="19">
        <v>200</v>
      </c>
      <c r="G8" s="19">
        <v>40</v>
      </c>
      <c r="H8" s="19">
        <v>200</v>
      </c>
      <c r="I8" s="19">
        <v>40</v>
      </c>
      <c r="J8" s="19">
        <v>200</v>
      </c>
      <c r="K8" s="19">
        <v>40</v>
      </c>
      <c r="L8" s="19">
        <v>200</v>
      </c>
      <c r="M8" s="19">
        <v>40</v>
      </c>
      <c r="N8" s="19">
        <v>200</v>
      </c>
      <c r="O8" s="19">
        <v>40</v>
      </c>
      <c r="P8" s="19">
        <v>200</v>
      </c>
      <c r="Q8" s="19">
        <v>40</v>
      </c>
      <c r="R8" s="19">
        <v>800</v>
      </c>
      <c r="S8" s="19">
        <v>40</v>
      </c>
      <c r="T8" s="22">
        <f t="shared" si="0"/>
        <v>-600</v>
      </c>
      <c r="U8" s="23"/>
      <c r="V8" s="41">
        <f t="shared" si="1"/>
        <v>-400</v>
      </c>
      <c r="W8" s="37">
        <f>V8/5</f>
        <v>-80</v>
      </c>
      <c r="X8" s="28"/>
    </row>
    <row r="9" spans="1:24" ht="15.75">
      <c r="A9" s="19">
        <v>6</v>
      </c>
      <c r="B9" s="20" t="s">
        <v>70</v>
      </c>
      <c r="C9" s="21" t="s">
        <v>19</v>
      </c>
      <c r="D9" s="19">
        <v>48</v>
      </c>
      <c r="E9" s="19">
        <v>80</v>
      </c>
      <c r="F9" s="19">
        <v>48</v>
      </c>
      <c r="G9" s="19">
        <v>80</v>
      </c>
      <c r="H9" s="19">
        <v>48</v>
      </c>
      <c r="I9" s="19">
        <v>80</v>
      </c>
      <c r="J9" s="19">
        <v>48</v>
      </c>
      <c r="K9" s="19">
        <v>80</v>
      </c>
      <c r="L9" s="19">
        <v>48</v>
      </c>
      <c r="M9" s="19">
        <v>80</v>
      </c>
      <c r="N9" s="19">
        <v>48</v>
      </c>
      <c r="O9" s="19">
        <v>80</v>
      </c>
      <c r="P9" s="19">
        <v>48</v>
      </c>
      <c r="Q9" s="19">
        <v>80</v>
      </c>
      <c r="R9" s="19">
        <v>78</v>
      </c>
      <c r="S9" s="19">
        <v>80</v>
      </c>
      <c r="T9" s="22">
        <f t="shared" si="0"/>
        <v>-30</v>
      </c>
      <c r="U9" s="23"/>
      <c r="V9" s="41">
        <f t="shared" si="1"/>
        <v>18</v>
      </c>
      <c r="W9" s="37">
        <f>V9/0.6</f>
        <v>30</v>
      </c>
      <c r="X9" s="28"/>
    </row>
    <row r="10" spans="1:24" ht="15.75">
      <c r="A10" s="19">
        <v>8</v>
      </c>
      <c r="B10" s="20" t="s">
        <v>70</v>
      </c>
      <c r="C10" s="24" t="s">
        <v>20</v>
      </c>
      <c r="D10" s="19">
        <v>0</v>
      </c>
      <c r="E10" s="19">
        <v>0</v>
      </c>
      <c r="F10" s="19">
        <v>90</v>
      </c>
      <c r="G10" s="19">
        <v>18</v>
      </c>
      <c r="H10" s="19">
        <v>90</v>
      </c>
      <c r="I10" s="19">
        <v>18</v>
      </c>
      <c r="J10" s="19">
        <v>90</v>
      </c>
      <c r="K10" s="19">
        <v>18</v>
      </c>
      <c r="L10" s="19">
        <v>90</v>
      </c>
      <c r="M10" s="19">
        <v>18</v>
      </c>
      <c r="N10" s="19">
        <v>90</v>
      </c>
      <c r="O10" s="19">
        <v>18</v>
      </c>
      <c r="P10" s="19">
        <v>90</v>
      </c>
      <c r="Q10" s="19">
        <v>18</v>
      </c>
      <c r="R10" s="19">
        <v>90</v>
      </c>
      <c r="S10" s="19">
        <v>18</v>
      </c>
      <c r="T10" s="22">
        <f t="shared" si="0"/>
        <v>0</v>
      </c>
      <c r="U10" s="23"/>
      <c r="V10" s="41">
        <f t="shared" si="1"/>
        <v>90</v>
      </c>
      <c r="W10" s="37">
        <f>V10/5</f>
        <v>18</v>
      </c>
      <c r="X10" s="28"/>
    </row>
    <row r="11" spans="1:24" ht="15.75">
      <c r="A11" s="19">
        <v>9</v>
      </c>
      <c r="B11" s="20" t="s">
        <v>70</v>
      </c>
      <c r="C11" s="24" t="s">
        <v>22</v>
      </c>
      <c r="D11" s="19">
        <v>0</v>
      </c>
      <c r="E11" s="19">
        <v>0</v>
      </c>
      <c r="F11" s="19">
        <v>640</v>
      </c>
      <c r="G11" s="19">
        <v>128</v>
      </c>
      <c r="H11" s="19">
        <v>7285</v>
      </c>
      <c r="I11" s="19">
        <v>1457</v>
      </c>
      <c r="J11" s="19">
        <v>7285</v>
      </c>
      <c r="K11" s="19">
        <v>1457</v>
      </c>
      <c r="L11" s="19">
        <v>7430</v>
      </c>
      <c r="M11" s="19">
        <v>1486</v>
      </c>
      <c r="N11" s="19">
        <v>7430</v>
      </c>
      <c r="O11" s="19">
        <v>1486</v>
      </c>
      <c r="P11" s="19">
        <v>7430</v>
      </c>
      <c r="Q11" s="19">
        <v>1486</v>
      </c>
      <c r="R11" s="19">
        <v>6880</v>
      </c>
      <c r="S11" s="19">
        <v>1376</v>
      </c>
      <c r="T11" s="22">
        <f t="shared" si="0"/>
        <v>550</v>
      </c>
      <c r="U11" s="23"/>
      <c r="V11" s="41">
        <f t="shared" si="1"/>
        <v>1190</v>
      </c>
      <c r="W11" s="37">
        <f>V11/5</f>
        <v>238</v>
      </c>
      <c r="X11" s="28"/>
    </row>
    <row r="12" spans="1:24" ht="15.75">
      <c r="A12" s="19">
        <v>10</v>
      </c>
      <c r="B12" s="20" t="s">
        <v>70</v>
      </c>
      <c r="C12" s="24" t="s">
        <v>23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22">
        <f t="shared" si="0"/>
        <v>0</v>
      </c>
      <c r="U12" s="23"/>
      <c r="V12" s="41">
        <f t="shared" si="1"/>
        <v>0</v>
      </c>
      <c r="W12" s="37">
        <f t="shared" ref="W12:W41" si="2">V12/5</f>
        <v>0</v>
      </c>
      <c r="X12" s="28"/>
    </row>
    <row r="13" spans="1:24" ht="15.75">
      <c r="A13" s="19">
        <v>11</v>
      </c>
      <c r="B13" s="20" t="s">
        <v>70</v>
      </c>
      <c r="C13" s="24" t="s">
        <v>25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22">
        <f t="shared" si="0"/>
        <v>0</v>
      </c>
      <c r="U13" s="23"/>
      <c r="V13" s="41">
        <f t="shared" si="1"/>
        <v>0</v>
      </c>
      <c r="W13" s="37">
        <f t="shared" si="2"/>
        <v>0</v>
      </c>
      <c r="X13" s="28"/>
    </row>
    <row r="14" spans="1:24" ht="15.75">
      <c r="A14" s="19">
        <v>12</v>
      </c>
      <c r="B14" s="20" t="s">
        <v>70</v>
      </c>
      <c r="C14" s="24" t="s">
        <v>26</v>
      </c>
      <c r="D14" s="19">
        <v>0</v>
      </c>
      <c r="E14" s="19">
        <v>0</v>
      </c>
      <c r="F14" s="19">
        <v>0</v>
      </c>
      <c r="G14" s="19">
        <v>0</v>
      </c>
      <c r="H14" s="19">
        <v>300</v>
      </c>
      <c r="I14" s="19">
        <v>0</v>
      </c>
      <c r="J14" s="19">
        <v>300</v>
      </c>
      <c r="K14" s="19">
        <v>0</v>
      </c>
      <c r="L14" s="19">
        <v>300</v>
      </c>
      <c r="M14" s="19">
        <v>50</v>
      </c>
      <c r="N14" s="19">
        <v>300</v>
      </c>
      <c r="O14" s="19">
        <v>50</v>
      </c>
      <c r="P14" s="19">
        <v>300</v>
      </c>
      <c r="Q14" s="19">
        <v>50</v>
      </c>
      <c r="R14" s="19">
        <v>444</v>
      </c>
      <c r="S14" s="19">
        <v>50</v>
      </c>
      <c r="T14" s="22">
        <f t="shared" si="0"/>
        <v>-144</v>
      </c>
      <c r="U14" s="23"/>
      <c r="V14" s="41">
        <f t="shared" si="1"/>
        <v>-144</v>
      </c>
      <c r="W14" s="37">
        <f t="shared" si="2"/>
        <v>-28.8</v>
      </c>
      <c r="X14" s="28"/>
    </row>
    <row r="15" spans="1:24" ht="15.75">
      <c r="A15" s="19">
        <v>14</v>
      </c>
      <c r="B15" s="20" t="s">
        <v>70</v>
      </c>
      <c r="C15" s="24" t="s">
        <v>71</v>
      </c>
      <c r="D15" s="19">
        <v>0</v>
      </c>
      <c r="E15" s="19">
        <v>0</v>
      </c>
      <c r="F15" s="19">
        <v>0</v>
      </c>
      <c r="G15" s="19">
        <v>0</v>
      </c>
      <c r="H15" s="19"/>
      <c r="I15" s="19">
        <v>0</v>
      </c>
      <c r="J15" s="19"/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22">
        <f t="shared" si="0"/>
        <v>0</v>
      </c>
      <c r="U15" s="23"/>
      <c r="V15" s="41">
        <f t="shared" si="1"/>
        <v>0</v>
      </c>
      <c r="W15" s="37">
        <f t="shared" si="2"/>
        <v>0</v>
      </c>
      <c r="X15" s="28"/>
    </row>
    <row r="16" spans="1:24" ht="15.75">
      <c r="A16" s="19">
        <v>15</v>
      </c>
      <c r="B16" s="20" t="s">
        <v>70</v>
      </c>
      <c r="C16" s="21" t="s">
        <v>27</v>
      </c>
      <c r="D16" s="19">
        <v>1072</v>
      </c>
      <c r="E16" s="19">
        <v>0</v>
      </c>
      <c r="F16" s="19">
        <v>1072</v>
      </c>
      <c r="G16" s="19">
        <v>0</v>
      </c>
      <c r="H16" s="19">
        <v>1072</v>
      </c>
      <c r="I16" s="19">
        <v>0</v>
      </c>
      <c r="J16" s="19">
        <v>1072</v>
      </c>
      <c r="K16" s="19">
        <v>0</v>
      </c>
      <c r="L16" s="19">
        <v>1072</v>
      </c>
      <c r="M16" s="19">
        <v>0</v>
      </c>
      <c r="N16" s="19">
        <v>1072</v>
      </c>
      <c r="O16" s="19">
        <v>0</v>
      </c>
      <c r="P16" s="19">
        <v>1072</v>
      </c>
      <c r="Q16" s="19">
        <v>0</v>
      </c>
      <c r="R16" s="19">
        <v>2322</v>
      </c>
      <c r="S16" s="19">
        <v>0</v>
      </c>
      <c r="T16" s="22">
        <f t="shared" si="0"/>
        <v>-1250</v>
      </c>
      <c r="U16" s="23"/>
      <c r="V16" s="41">
        <f t="shared" si="1"/>
        <v>-178</v>
      </c>
      <c r="W16" s="37">
        <f>V16/67</f>
        <v>-2.6567164179104479</v>
      </c>
      <c r="X16" s="28"/>
    </row>
    <row r="17" spans="1:24" ht="15.75">
      <c r="A17" s="19">
        <v>16</v>
      </c>
      <c r="B17" s="20" t="s">
        <v>70</v>
      </c>
      <c r="C17" s="25" t="s">
        <v>28</v>
      </c>
      <c r="D17" s="19">
        <v>2272</v>
      </c>
      <c r="E17" s="19">
        <v>70</v>
      </c>
      <c r="F17" s="19">
        <v>3037</v>
      </c>
      <c r="G17" s="19">
        <v>95</v>
      </c>
      <c r="H17" s="19">
        <v>3037</v>
      </c>
      <c r="I17" s="19">
        <v>95</v>
      </c>
      <c r="J17" s="19">
        <v>3037</v>
      </c>
      <c r="K17" s="19">
        <v>95</v>
      </c>
      <c r="L17" s="19">
        <v>2969</v>
      </c>
      <c r="M17" s="19">
        <v>91</v>
      </c>
      <c r="N17" s="19">
        <v>2969</v>
      </c>
      <c r="O17" s="19">
        <v>91</v>
      </c>
      <c r="P17" s="19">
        <v>2969</v>
      </c>
      <c r="Q17" s="19">
        <v>91</v>
      </c>
      <c r="R17" s="19">
        <v>2187</v>
      </c>
      <c r="S17" s="19">
        <v>95</v>
      </c>
      <c r="T17" s="22">
        <f t="shared" si="0"/>
        <v>782</v>
      </c>
      <c r="U17" s="23"/>
      <c r="V17" s="41">
        <f t="shared" si="1"/>
        <v>3819</v>
      </c>
      <c r="W17" s="31">
        <f>V17/17</f>
        <v>224.64705882352942</v>
      </c>
      <c r="X17" s="28"/>
    </row>
    <row r="18" spans="1:24" ht="15.75">
      <c r="A18" s="19">
        <v>17</v>
      </c>
      <c r="B18" s="20" t="s">
        <v>70</v>
      </c>
      <c r="C18" s="25" t="s">
        <v>29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22">
        <f t="shared" si="0"/>
        <v>0</v>
      </c>
      <c r="U18" s="23"/>
      <c r="V18" s="41">
        <f t="shared" si="1"/>
        <v>0</v>
      </c>
      <c r="W18" s="37">
        <f t="shared" si="2"/>
        <v>0</v>
      </c>
      <c r="X18" s="28"/>
    </row>
    <row r="19" spans="1:24" ht="15.75">
      <c r="A19" s="19">
        <v>18</v>
      </c>
      <c r="B19" s="20" t="s">
        <v>70</v>
      </c>
      <c r="C19" s="25" t="s">
        <v>30</v>
      </c>
      <c r="D19" s="19">
        <v>4441</v>
      </c>
      <c r="E19" s="19">
        <v>0</v>
      </c>
      <c r="F19" s="19">
        <v>7010</v>
      </c>
      <c r="G19" s="19">
        <v>0</v>
      </c>
      <c r="H19" s="19">
        <v>8408</v>
      </c>
      <c r="I19" s="19">
        <v>0</v>
      </c>
      <c r="J19" s="19">
        <v>8408</v>
      </c>
      <c r="K19" s="19">
        <v>0</v>
      </c>
      <c r="L19" s="19">
        <v>8408</v>
      </c>
      <c r="M19" s="19">
        <v>0</v>
      </c>
      <c r="N19" s="19">
        <v>8408</v>
      </c>
      <c r="O19" s="19">
        <v>0</v>
      </c>
      <c r="P19" s="19">
        <v>8408</v>
      </c>
      <c r="Q19" s="19">
        <v>0</v>
      </c>
      <c r="R19" s="19">
        <v>10684</v>
      </c>
      <c r="S19" s="19">
        <v>0</v>
      </c>
      <c r="T19" s="22">
        <f t="shared" si="0"/>
        <v>-2276</v>
      </c>
      <c r="U19" s="23"/>
      <c r="V19" s="41">
        <f t="shared" si="1"/>
        <v>4734</v>
      </c>
      <c r="W19" s="37">
        <v>0</v>
      </c>
      <c r="X19" s="28"/>
    </row>
    <row r="20" spans="1:24" ht="15.75">
      <c r="A20" s="19">
        <v>19</v>
      </c>
      <c r="B20" s="20" t="s">
        <v>70</v>
      </c>
      <c r="C20" s="25" t="s">
        <v>31</v>
      </c>
      <c r="D20" s="19">
        <v>1805</v>
      </c>
      <c r="E20" s="19">
        <v>0</v>
      </c>
      <c r="F20" s="19">
        <v>3405</v>
      </c>
      <c r="G20" s="19">
        <v>0</v>
      </c>
      <c r="H20" s="19">
        <v>8170</v>
      </c>
      <c r="I20" s="19">
        <v>0</v>
      </c>
      <c r="J20" s="19">
        <v>8170</v>
      </c>
      <c r="K20" s="19">
        <v>0</v>
      </c>
      <c r="L20" s="19">
        <v>8178</v>
      </c>
      <c r="M20" s="19">
        <v>0</v>
      </c>
      <c r="N20" s="19">
        <v>8178</v>
      </c>
      <c r="O20" s="19">
        <v>0</v>
      </c>
      <c r="P20" s="19">
        <v>8178</v>
      </c>
      <c r="Q20" s="19">
        <v>0</v>
      </c>
      <c r="R20" s="19">
        <v>8498</v>
      </c>
      <c r="S20" s="19">
        <v>0</v>
      </c>
      <c r="T20" s="22">
        <f t="shared" si="0"/>
        <v>-320</v>
      </c>
      <c r="U20" s="23"/>
      <c r="V20" s="41">
        <f t="shared" si="1"/>
        <v>3085</v>
      </c>
      <c r="W20" s="37">
        <v>0</v>
      </c>
      <c r="X20" s="28"/>
    </row>
    <row r="21" spans="1:24" ht="15.75">
      <c r="A21" s="19">
        <v>20</v>
      </c>
      <c r="B21" s="20" t="s">
        <v>70</v>
      </c>
      <c r="C21" s="25" t="s">
        <v>72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22">
        <f t="shared" si="0"/>
        <v>0</v>
      </c>
      <c r="U21" s="23"/>
      <c r="V21" s="41">
        <f t="shared" si="1"/>
        <v>0</v>
      </c>
      <c r="W21" s="37">
        <f t="shared" si="2"/>
        <v>0</v>
      </c>
      <c r="X21" s="28"/>
    </row>
    <row r="22" spans="1:24" ht="15.75">
      <c r="A22" s="19">
        <v>21</v>
      </c>
      <c r="B22" s="20" t="s">
        <v>70</v>
      </c>
      <c r="C22" s="38" t="s">
        <v>73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22">
        <f t="shared" si="0"/>
        <v>0</v>
      </c>
      <c r="U22" s="23"/>
      <c r="V22" s="41">
        <f t="shared" si="1"/>
        <v>0</v>
      </c>
      <c r="W22" s="37">
        <f t="shared" si="2"/>
        <v>0</v>
      </c>
      <c r="X22" s="28"/>
    </row>
    <row r="23" spans="1:24" ht="15.75">
      <c r="A23" s="19">
        <v>22</v>
      </c>
      <c r="B23" s="20" t="s">
        <v>70</v>
      </c>
      <c r="C23" s="25" t="s">
        <v>32</v>
      </c>
      <c r="D23" s="19">
        <v>433</v>
      </c>
      <c r="E23" s="19">
        <v>0</v>
      </c>
      <c r="F23" s="19">
        <v>733</v>
      </c>
      <c r="G23" s="19">
        <v>0</v>
      </c>
      <c r="H23" s="19">
        <v>2862</v>
      </c>
      <c r="I23" s="19">
        <v>0</v>
      </c>
      <c r="J23" s="19">
        <v>2862</v>
      </c>
      <c r="K23" s="19">
        <v>0</v>
      </c>
      <c r="L23" s="19">
        <v>3826</v>
      </c>
      <c r="M23" s="19">
        <v>0</v>
      </c>
      <c r="N23" s="19">
        <v>3826</v>
      </c>
      <c r="O23" s="19">
        <v>0</v>
      </c>
      <c r="P23" s="19">
        <v>3826</v>
      </c>
      <c r="Q23" s="19">
        <v>0</v>
      </c>
      <c r="R23" s="19">
        <v>3756</v>
      </c>
      <c r="S23" s="19">
        <v>0</v>
      </c>
      <c r="T23" s="22">
        <f t="shared" si="0"/>
        <v>70</v>
      </c>
      <c r="U23" s="23"/>
      <c r="V23" s="41">
        <f t="shared" si="1"/>
        <v>803</v>
      </c>
      <c r="W23" s="37">
        <v>0</v>
      </c>
      <c r="X23" s="28"/>
    </row>
    <row r="24" spans="1:24" ht="15.75">
      <c r="A24" s="19">
        <v>23</v>
      </c>
      <c r="B24" s="20" t="s">
        <v>70</v>
      </c>
      <c r="C24" s="25" t="s">
        <v>33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22">
        <f t="shared" si="0"/>
        <v>0</v>
      </c>
      <c r="U24" s="23"/>
      <c r="V24" s="41">
        <f t="shared" si="1"/>
        <v>0</v>
      </c>
      <c r="W24" s="37">
        <v>0</v>
      </c>
      <c r="X24" s="28"/>
    </row>
    <row r="25" spans="1:24" ht="15.75">
      <c r="A25" s="19">
        <v>24</v>
      </c>
      <c r="B25" s="20" t="s">
        <v>70</v>
      </c>
      <c r="C25" s="25" t="s">
        <v>34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22">
        <f t="shared" si="0"/>
        <v>0</v>
      </c>
      <c r="U25" s="23"/>
      <c r="V25" s="41">
        <f t="shared" si="1"/>
        <v>0</v>
      </c>
      <c r="W25" s="37">
        <f t="shared" si="2"/>
        <v>0</v>
      </c>
      <c r="X25" s="28"/>
    </row>
    <row r="26" spans="1:24" ht="15.75">
      <c r="A26" s="19">
        <v>25</v>
      </c>
      <c r="B26" s="20" t="s">
        <v>70</v>
      </c>
      <c r="C26" s="25" t="s">
        <v>35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22">
        <f t="shared" si="0"/>
        <v>0</v>
      </c>
      <c r="U26" s="23"/>
      <c r="V26" s="41">
        <f t="shared" si="1"/>
        <v>0</v>
      </c>
      <c r="W26" s="37">
        <f t="shared" si="2"/>
        <v>0</v>
      </c>
      <c r="X26" s="28"/>
    </row>
    <row r="27" spans="1:24" ht="15.75">
      <c r="A27" s="19">
        <v>26</v>
      </c>
      <c r="B27" s="20" t="s">
        <v>70</v>
      </c>
      <c r="C27" s="25" t="s">
        <v>36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22">
        <f t="shared" si="0"/>
        <v>0</v>
      </c>
      <c r="U27" s="23"/>
      <c r="V27" s="41">
        <f t="shared" si="1"/>
        <v>0</v>
      </c>
      <c r="W27" s="37">
        <f t="shared" si="2"/>
        <v>0</v>
      </c>
      <c r="X27" s="28"/>
    </row>
    <row r="28" spans="1:24" ht="15.75">
      <c r="A28" s="19">
        <v>27</v>
      </c>
      <c r="B28" s="20" t="s">
        <v>70</v>
      </c>
      <c r="C28" s="25" t="s">
        <v>37</v>
      </c>
      <c r="D28" s="19">
        <v>10</v>
      </c>
      <c r="E28" s="19">
        <v>0</v>
      </c>
      <c r="F28" s="19">
        <v>10</v>
      </c>
      <c r="G28" s="19">
        <v>0</v>
      </c>
      <c r="H28" s="19">
        <v>175</v>
      </c>
      <c r="I28" s="19">
        <v>0</v>
      </c>
      <c r="J28" s="19">
        <v>175</v>
      </c>
      <c r="K28" s="19">
        <v>0</v>
      </c>
      <c r="L28" s="19">
        <v>175</v>
      </c>
      <c r="M28" s="19">
        <v>0</v>
      </c>
      <c r="N28" s="19">
        <v>175</v>
      </c>
      <c r="O28" s="19">
        <v>0</v>
      </c>
      <c r="P28" s="19">
        <v>175</v>
      </c>
      <c r="Q28" s="19">
        <v>0</v>
      </c>
      <c r="R28" s="19">
        <v>175</v>
      </c>
      <c r="S28" s="19">
        <v>0</v>
      </c>
      <c r="T28" s="22">
        <f t="shared" si="0"/>
        <v>0</v>
      </c>
      <c r="U28" s="23"/>
      <c r="V28" s="41">
        <f t="shared" si="1"/>
        <v>10</v>
      </c>
      <c r="W28" s="37">
        <v>0</v>
      </c>
      <c r="X28" s="28"/>
    </row>
    <row r="29" spans="1:24" ht="15.75">
      <c r="A29" s="19">
        <v>28</v>
      </c>
      <c r="B29" s="20" t="s">
        <v>70</v>
      </c>
      <c r="C29" s="21" t="s">
        <v>38</v>
      </c>
      <c r="D29" s="39">
        <v>0</v>
      </c>
      <c r="E29" s="3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22">
        <f t="shared" si="0"/>
        <v>0</v>
      </c>
      <c r="U29" s="23"/>
      <c r="V29" s="41">
        <f t="shared" si="1"/>
        <v>0</v>
      </c>
      <c r="W29" s="37">
        <f t="shared" si="2"/>
        <v>0</v>
      </c>
      <c r="X29" s="28"/>
    </row>
    <row r="30" spans="1:24" ht="15.75">
      <c r="A30" s="19">
        <v>29</v>
      </c>
      <c r="B30" s="20" t="s">
        <v>70</v>
      </c>
      <c r="C30" s="21" t="s">
        <v>39</v>
      </c>
      <c r="D30" s="39">
        <v>0</v>
      </c>
      <c r="E30" s="39">
        <v>0</v>
      </c>
      <c r="F30" s="19">
        <v>0</v>
      </c>
      <c r="G30" s="19">
        <v>0</v>
      </c>
      <c r="H30" s="19">
        <f>I30*1.4</f>
        <v>278.59999999999997</v>
      </c>
      <c r="I30" s="19">
        <v>199</v>
      </c>
      <c r="J30" s="19">
        <f>K30*1.4</f>
        <v>243.6</v>
      </c>
      <c r="K30" s="19">
        <v>174</v>
      </c>
      <c r="L30" s="19">
        <v>243.6</v>
      </c>
      <c r="M30" s="19">
        <v>174</v>
      </c>
      <c r="N30" s="19">
        <v>243.6</v>
      </c>
      <c r="O30" s="19">
        <v>174</v>
      </c>
      <c r="P30" s="19">
        <v>243.6</v>
      </c>
      <c r="Q30" s="19">
        <v>174</v>
      </c>
      <c r="R30" s="19">
        <f>S30*1.4</f>
        <v>243.6</v>
      </c>
      <c r="S30" s="19">
        <v>174</v>
      </c>
      <c r="T30" s="22">
        <f t="shared" si="0"/>
        <v>0</v>
      </c>
      <c r="U30" s="23"/>
      <c r="V30" s="41">
        <f t="shared" si="1"/>
        <v>0</v>
      </c>
      <c r="W30" s="37">
        <f t="shared" si="2"/>
        <v>0</v>
      </c>
      <c r="X30" s="28"/>
    </row>
    <row r="31" spans="1:24" ht="15.75">
      <c r="A31" s="19">
        <v>30</v>
      </c>
      <c r="B31" s="20" t="s">
        <v>70</v>
      </c>
      <c r="C31" s="21" t="s">
        <v>40</v>
      </c>
      <c r="D31" s="39">
        <v>0</v>
      </c>
      <c r="E31" s="3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22">
        <f t="shared" si="0"/>
        <v>0</v>
      </c>
      <c r="U31" s="23"/>
      <c r="V31" s="41">
        <f t="shared" si="1"/>
        <v>0</v>
      </c>
      <c r="W31" s="37">
        <f t="shared" si="2"/>
        <v>0</v>
      </c>
      <c r="X31" s="28"/>
    </row>
    <row r="32" spans="1:24" ht="15.75">
      <c r="A32" s="19">
        <v>31</v>
      </c>
      <c r="B32" s="20" t="s">
        <v>70</v>
      </c>
      <c r="C32" s="21" t="s">
        <v>41</v>
      </c>
      <c r="D32" s="39">
        <v>0</v>
      </c>
      <c r="E32" s="3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22">
        <f t="shared" si="0"/>
        <v>0</v>
      </c>
      <c r="U32" s="29"/>
      <c r="V32" s="41">
        <f t="shared" si="1"/>
        <v>0</v>
      </c>
      <c r="W32" s="37">
        <f t="shared" si="2"/>
        <v>0</v>
      </c>
      <c r="X32" s="28"/>
    </row>
    <row r="33" spans="1:24" ht="15.75">
      <c r="A33" s="19">
        <v>32</v>
      </c>
      <c r="B33" s="20" t="s">
        <v>70</v>
      </c>
      <c r="C33" s="21" t="s">
        <v>42</v>
      </c>
      <c r="D33" s="39">
        <v>0</v>
      </c>
      <c r="E33" s="3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278</v>
      </c>
      <c r="M33" s="19">
        <v>497</v>
      </c>
      <c r="N33" s="19">
        <v>278</v>
      </c>
      <c r="O33" s="19">
        <v>497</v>
      </c>
      <c r="P33" s="19">
        <v>278</v>
      </c>
      <c r="Q33" s="19">
        <v>497</v>
      </c>
      <c r="R33" s="19">
        <v>538</v>
      </c>
      <c r="S33" s="19">
        <v>929</v>
      </c>
      <c r="T33" s="22">
        <f t="shared" si="0"/>
        <v>-260</v>
      </c>
      <c r="U33" s="29"/>
      <c r="V33" s="41">
        <f t="shared" si="1"/>
        <v>-260</v>
      </c>
      <c r="W33" s="37">
        <f t="shared" si="2"/>
        <v>-52</v>
      </c>
      <c r="X33" s="28"/>
    </row>
    <row r="34" spans="1:24" ht="15.75">
      <c r="A34" s="19">
        <v>33</v>
      </c>
      <c r="B34" s="20" t="s">
        <v>70</v>
      </c>
      <c r="C34" s="21" t="s">
        <v>62</v>
      </c>
      <c r="D34" s="39">
        <v>0</v>
      </c>
      <c r="E34" s="3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22">
        <f t="shared" si="0"/>
        <v>0</v>
      </c>
      <c r="U34" s="29"/>
      <c r="V34" s="41">
        <f t="shared" si="1"/>
        <v>0</v>
      </c>
      <c r="W34" s="37">
        <f t="shared" si="2"/>
        <v>0</v>
      </c>
      <c r="X34" s="28"/>
    </row>
    <row r="35" spans="1:24" ht="15.75">
      <c r="A35" s="19">
        <v>34</v>
      </c>
      <c r="B35" s="20" t="s">
        <v>70</v>
      </c>
      <c r="C35" s="21" t="s">
        <v>63</v>
      </c>
      <c r="D35" s="39">
        <v>0</v>
      </c>
      <c r="E35" s="39"/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22">
        <f t="shared" si="0"/>
        <v>0</v>
      </c>
      <c r="U35" s="29"/>
      <c r="V35" s="41">
        <f t="shared" si="1"/>
        <v>0</v>
      </c>
      <c r="W35" s="37">
        <f t="shared" si="2"/>
        <v>0</v>
      </c>
      <c r="X35" s="28"/>
    </row>
    <row r="36" spans="1:24" ht="15.75">
      <c r="A36" s="19">
        <v>35</v>
      </c>
      <c r="B36" s="20" t="s">
        <v>70</v>
      </c>
      <c r="C36" s="21" t="s">
        <v>64</v>
      </c>
      <c r="D36" s="39">
        <v>0</v>
      </c>
      <c r="E36" s="39">
        <v>0</v>
      </c>
      <c r="F36" s="19">
        <v>0</v>
      </c>
      <c r="G36" s="19"/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22">
        <f t="shared" si="0"/>
        <v>0</v>
      </c>
      <c r="U36" s="29"/>
      <c r="V36" s="41">
        <f t="shared" si="1"/>
        <v>0</v>
      </c>
      <c r="W36" s="37">
        <f t="shared" si="2"/>
        <v>0</v>
      </c>
      <c r="X36" s="28"/>
    </row>
    <row r="37" spans="1:24" ht="15.75">
      <c r="A37" s="19">
        <v>36</v>
      </c>
      <c r="B37" s="20" t="s">
        <v>70</v>
      </c>
      <c r="C37" s="21" t="s">
        <v>65</v>
      </c>
      <c r="D37" s="39">
        <v>0</v>
      </c>
      <c r="E37" s="3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22">
        <f t="shared" si="0"/>
        <v>0</v>
      </c>
      <c r="U37" s="29"/>
      <c r="V37" s="41">
        <f t="shared" si="1"/>
        <v>0</v>
      </c>
      <c r="W37" s="37">
        <f t="shared" si="2"/>
        <v>0</v>
      </c>
      <c r="X37" s="28"/>
    </row>
    <row r="38" spans="1:24" ht="15.75">
      <c r="A38" s="19">
        <v>37</v>
      </c>
      <c r="B38" s="20" t="s">
        <v>70</v>
      </c>
      <c r="C38" s="21" t="s">
        <v>66</v>
      </c>
      <c r="D38" s="39">
        <v>0</v>
      </c>
      <c r="E38" s="39"/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22">
        <f t="shared" si="0"/>
        <v>0</v>
      </c>
      <c r="U38" s="29"/>
      <c r="V38" s="41">
        <f t="shared" si="1"/>
        <v>0</v>
      </c>
      <c r="W38" s="37">
        <f t="shared" si="2"/>
        <v>0</v>
      </c>
      <c r="X38" s="28"/>
    </row>
    <row r="39" spans="1:24" ht="15.75">
      <c r="A39" s="19">
        <v>38</v>
      </c>
      <c r="B39" s="20" t="s">
        <v>70</v>
      </c>
      <c r="C39" s="21" t="s">
        <v>67</v>
      </c>
      <c r="D39" s="39">
        <v>0</v>
      </c>
      <c r="E39" s="3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29"/>
      <c r="U39" s="29"/>
      <c r="V39" s="41">
        <f t="shared" si="1"/>
        <v>0</v>
      </c>
      <c r="W39" s="37">
        <f t="shared" si="2"/>
        <v>0</v>
      </c>
      <c r="X39" s="28"/>
    </row>
    <row r="40" spans="1:24" ht="15.75">
      <c r="A40" s="19">
        <v>39</v>
      </c>
      <c r="B40" s="20" t="s">
        <v>70</v>
      </c>
      <c r="C40" s="21" t="s">
        <v>43</v>
      </c>
      <c r="D40" s="39"/>
      <c r="E40" s="39">
        <v>100</v>
      </c>
      <c r="F40" s="28"/>
      <c r="G40" s="19">
        <v>240</v>
      </c>
      <c r="H40" s="19">
        <v>0</v>
      </c>
      <c r="I40" s="19">
        <v>240</v>
      </c>
      <c r="J40" s="19">
        <v>0</v>
      </c>
      <c r="K40" s="19">
        <v>240</v>
      </c>
      <c r="L40" s="19">
        <v>0</v>
      </c>
      <c r="M40" s="19">
        <v>240</v>
      </c>
      <c r="N40" s="19">
        <v>0</v>
      </c>
      <c r="O40" s="19">
        <v>240</v>
      </c>
      <c r="P40" s="19">
        <v>0</v>
      </c>
      <c r="Q40" s="19">
        <v>240</v>
      </c>
      <c r="R40" s="19">
        <v>0</v>
      </c>
      <c r="S40" s="19">
        <v>240</v>
      </c>
      <c r="T40" s="22"/>
      <c r="U40" s="22"/>
      <c r="V40" s="41">
        <f t="shared" si="1"/>
        <v>0</v>
      </c>
      <c r="W40" s="37">
        <v>240</v>
      </c>
      <c r="X40" s="28"/>
    </row>
    <row r="41" spans="1:24">
      <c r="A41" s="28"/>
      <c r="B41" s="20"/>
      <c r="C41" s="28"/>
      <c r="D41" s="40">
        <f>SUM(D4:D40)</f>
        <v>12656</v>
      </c>
      <c r="E41" s="40"/>
      <c r="F41" s="19">
        <f t="shared" ref="F41:K41" si="3">SUM(F4:F40)</f>
        <v>19420</v>
      </c>
      <c r="G41" s="19">
        <f t="shared" si="3"/>
        <v>621</v>
      </c>
      <c r="H41" s="19">
        <f t="shared" si="3"/>
        <v>46271.6</v>
      </c>
      <c r="I41" s="19">
        <f t="shared" si="3"/>
        <v>2129</v>
      </c>
      <c r="J41" s="102">
        <f t="shared" si="3"/>
        <v>46236.6</v>
      </c>
      <c r="K41" s="19">
        <f t="shared" si="3"/>
        <v>2104</v>
      </c>
      <c r="L41" s="19">
        <f t="shared" ref="L41:Q41" si="4">SUM(L4:L40)</f>
        <v>56312.6</v>
      </c>
      <c r="M41" s="19">
        <f t="shared" si="4"/>
        <v>3025</v>
      </c>
      <c r="N41" s="19">
        <f t="shared" si="4"/>
        <v>56312.6</v>
      </c>
      <c r="O41" s="19">
        <f t="shared" si="4"/>
        <v>3025</v>
      </c>
      <c r="P41" s="19">
        <f t="shared" si="4"/>
        <v>56312.6</v>
      </c>
      <c r="Q41" s="19">
        <f t="shared" si="4"/>
        <v>3025</v>
      </c>
      <c r="R41" s="19">
        <f>SUM(R4:R40)</f>
        <v>63257.599999999999</v>
      </c>
      <c r="S41" s="19"/>
      <c r="T41" s="29"/>
      <c r="U41" s="29"/>
      <c r="V41" s="44">
        <f>SUM(V4:V40)</f>
        <v>9799</v>
      </c>
      <c r="W41" s="19">
        <f t="shared" si="2"/>
        <v>1959.8</v>
      </c>
      <c r="X41" s="28"/>
    </row>
    <row r="42" spans="1:24">
      <c r="H42" s="242">
        <v>45993</v>
      </c>
    </row>
    <row r="43" spans="1:24">
      <c r="H43">
        <f>H41-H42</f>
        <v>278.59999999999854</v>
      </c>
    </row>
  </sheetData>
  <mergeCells count="9">
    <mergeCell ref="A1:X1"/>
    <mergeCell ref="D2:E2"/>
    <mergeCell ref="F2:G2"/>
    <mergeCell ref="H2:I2"/>
    <mergeCell ref="J2:K2"/>
    <mergeCell ref="L2:M2"/>
    <mergeCell ref="N2:O2"/>
    <mergeCell ref="P2:Q2"/>
    <mergeCell ref="R2:S2"/>
  </mergeCells>
  <pageMargins left="0.26" right="0.3" top="0.46" bottom="0.75" header="0.3" footer="0.3"/>
  <pageSetup paperSize="9" scale="81" orientation="landscape" r:id="rId1"/>
  <ignoredErrors>
    <ignoredError sqref="W1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AI50"/>
  <sheetViews>
    <sheetView topLeftCell="B1" zoomScale="84" zoomScaleNormal="84" workbookViewId="0">
      <selection activeCell="V5" sqref="V5:V32"/>
    </sheetView>
  </sheetViews>
  <sheetFormatPr defaultColWidth="9" defaultRowHeight="15"/>
  <cols>
    <col min="1" max="1" width="3.5703125" customWidth="1"/>
    <col min="2" max="2" width="13.5703125" customWidth="1"/>
    <col min="3" max="3" width="26" customWidth="1"/>
    <col min="4" max="4" width="18.28515625" hidden="1" customWidth="1"/>
    <col min="5" max="5" width="12.85546875" hidden="1" customWidth="1"/>
    <col min="6" max="6" width="13.42578125" hidden="1" customWidth="1"/>
    <col min="7" max="7" width="12.7109375" hidden="1" customWidth="1"/>
    <col min="8" max="8" width="13.42578125" hidden="1" customWidth="1"/>
    <col min="9" max="19" width="13" hidden="1" customWidth="1"/>
    <col min="20" max="23" width="13" customWidth="1"/>
    <col min="24" max="24" width="14.5703125" customWidth="1"/>
    <col min="25" max="25" width="15.7109375" customWidth="1"/>
    <col min="26" max="26" width="16.85546875" style="45" bestFit="1" customWidth="1"/>
    <col min="27" max="27" width="13" style="45" customWidth="1"/>
    <col min="28" max="28" width="19" customWidth="1"/>
    <col min="29" max="29" width="7.140625" style="35" customWidth="1"/>
    <col min="30" max="30" width="10.140625" style="35" customWidth="1"/>
    <col min="31" max="31" width="10.140625" customWidth="1"/>
    <col min="32" max="32" width="10.5703125" customWidth="1"/>
  </cols>
  <sheetData>
    <row r="2" spans="1:35" ht="21">
      <c r="A2" s="288" t="s">
        <v>147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D2"/>
    </row>
    <row r="3" spans="1:35" ht="49.5" customHeight="1">
      <c r="A3" s="108"/>
      <c r="B3" s="108"/>
      <c r="C3" s="108"/>
      <c r="D3" s="289" t="s">
        <v>167</v>
      </c>
      <c r="E3" s="290"/>
      <c r="F3" s="289" t="s">
        <v>130</v>
      </c>
      <c r="G3" s="290"/>
      <c r="H3" s="289" t="s">
        <v>158</v>
      </c>
      <c r="I3" s="290"/>
      <c r="J3" s="289" t="s">
        <v>166</v>
      </c>
      <c r="K3" s="290"/>
      <c r="L3" s="289" t="s">
        <v>165</v>
      </c>
      <c r="M3" s="290"/>
      <c r="N3" s="289" t="s">
        <v>206</v>
      </c>
      <c r="O3" s="290"/>
      <c r="P3" s="289" t="s">
        <v>238</v>
      </c>
      <c r="Q3" s="290"/>
      <c r="R3" s="289" t="s">
        <v>241</v>
      </c>
      <c r="S3" s="290"/>
      <c r="T3" s="289" t="s">
        <v>244</v>
      </c>
      <c r="U3" s="290"/>
      <c r="V3" s="289" t="s">
        <v>250</v>
      </c>
      <c r="W3" s="290"/>
      <c r="X3" s="162" t="s">
        <v>150</v>
      </c>
      <c r="Y3" s="162" t="s">
        <v>150</v>
      </c>
      <c r="Z3" s="108" t="s">
        <v>153</v>
      </c>
      <c r="AA3" s="108"/>
      <c r="AB3" s="108"/>
      <c r="AD3"/>
    </row>
    <row r="4" spans="1:35" ht="15.75">
      <c r="A4" s="17" t="s">
        <v>1</v>
      </c>
      <c r="B4" s="17" t="s">
        <v>2</v>
      </c>
      <c r="C4" s="17" t="s">
        <v>3</v>
      </c>
      <c r="D4" s="17" t="s">
        <v>4</v>
      </c>
      <c r="E4" s="17" t="s">
        <v>109</v>
      </c>
      <c r="F4" s="17" t="s">
        <v>4</v>
      </c>
      <c r="G4" s="17" t="s">
        <v>109</v>
      </c>
      <c r="H4" s="17" t="s">
        <v>4</v>
      </c>
      <c r="I4" s="17" t="s">
        <v>109</v>
      </c>
      <c r="J4" s="17" t="s">
        <v>4</v>
      </c>
      <c r="K4" s="17" t="s">
        <v>109</v>
      </c>
      <c r="L4" s="17" t="s">
        <v>4</v>
      </c>
      <c r="M4" s="17" t="s">
        <v>109</v>
      </c>
      <c r="N4" s="17" t="s">
        <v>4</v>
      </c>
      <c r="O4" s="17" t="s">
        <v>109</v>
      </c>
      <c r="P4" s="17" t="s">
        <v>4</v>
      </c>
      <c r="Q4" s="17" t="s">
        <v>109</v>
      </c>
      <c r="R4" s="17" t="s">
        <v>4</v>
      </c>
      <c r="S4" s="17" t="s">
        <v>109</v>
      </c>
      <c r="T4" s="17" t="s">
        <v>4</v>
      </c>
      <c r="U4" s="17" t="s">
        <v>109</v>
      </c>
      <c r="V4" s="17" t="s">
        <v>4</v>
      </c>
      <c r="W4" s="17" t="s">
        <v>109</v>
      </c>
      <c r="X4" s="18" t="s">
        <v>125</v>
      </c>
      <c r="Y4" s="18" t="s">
        <v>8</v>
      </c>
      <c r="Z4" s="17" t="s">
        <v>10</v>
      </c>
      <c r="AA4" s="17" t="s">
        <v>11</v>
      </c>
      <c r="AB4" s="20" t="s">
        <v>12</v>
      </c>
      <c r="AD4"/>
      <c r="AF4" s="35"/>
    </row>
    <row r="5" spans="1:35" ht="15.75">
      <c r="A5" s="19">
        <v>1</v>
      </c>
      <c r="B5" s="20" t="s">
        <v>69</v>
      </c>
      <c r="C5" s="21" t="s">
        <v>14</v>
      </c>
      <c r="D5" s="20">
        <v>178318.68</v>
      </c>
      <c r="E5" s="20">
        <v>0</v>
      </c>
      <c r="F5" s="17">
        <v>179933.68</v>
      </c>
      <c r="G5" s="17">
        <v>0</v>
      </c>
      <c r="H5" s="177">
        <v>174903.67999999999</v>
      </c>
      <c r="I5" s="17">
        <v>0</v>
      </c>
      <c r="J5" s="17">
        <v>136304.68</v>
      </c>
      <c r="K5" s="17">
        <v>0</v>
      </c>
      <c r="L5" s="17">
        <v>136504.68</v>
      </c>
      <c r="M5" s="17">
        <v>0</v>
      </c>
      <c r="N5" s="17">
        <v>140111.67999999999</v>
      </c>
      <c r="O5" s="17">
        <v>0</v>
      </c>
      <c r="P5" s="17">
        <v>134381.68</v>
      </c>
      <c r="Q5" s="17">
        <v>0</v>
      </c>
      <c r="R5" s="17">
        <v>135304.18</v>
      </c>
      <c r="S5" s="17">
        <v>0</v>
      </c>
      <c r="T5" s="17">
        <v>135304.18</v>
      </c>
      <c r="U5" s="17">
        <v>0</v>
      </c>
      <c r="V5" s="17">
        <v>147077.18</v>
      </c>
      <c r="W5" s="17">
        <v>0</v>
      </c>
      <c r="X5" s="22">
        <f>L5-N5</f>
        <v>-3607</v>
      </c>
      <c r="Y5" s="22">
        <f>P5-R5</f>
        <v>-922.5</v>
      </c>
      <c r="Z5" s="31">
        <f>(H5+X5)-Y5</f>
        <v>172219.18</v>
      </c>
      <c r="AA5" s="20"/>
      <c r="AB5" s="19" t="e">
        <f>Z5/AA5</f>
        <v>#DIV/0!</v>
      </c>
      <c r="AD5"/>
      <c r="AF5" s="35"/>
    </row>
    <row r="6" spans="1:35" ht="15.75">
      <c r="A6" s="19">
        <v>2</v>
      </c>
      <c r="B6" s="20" t="s">
        <v>69</v>
      </c>
      <c r="C6" s="21" t="s">
        <v>15</v>
      </c>
      <c r="D6" s="20">
        <v>40090.5</v>
      </c>
      <c r="E6" s="20">
        <v>1967</v>
      </c>
      <c r="F6" s="20">
        <v>38521</v>
      </c>
      <c r="G6" s="17">
        <v>1850</v>
      </c>
      <c r="H6" s="177">
        <v>28641</v>
      </c>
      <c r="I6" s="17">
        <v>1330</v>
      </c>
      <c r="J6" s="17">
        <v>27295.5</v>
      </c>
      <c r="K6" s="17">
        <v>1253</v>
      </c>
      <c r="L6" s="17">
        <v>27333</v>
      </c>
      <c r="M6" s="17">
        <v>1255</v>
      </c>
      <c r="N6" s="17">
        <v>31081</v>
      </c>
      <c r="O6" s="17">
        <v>1360</v>
      </c>
      <c r="P6" s="17">
        <v>31206</v>
      </c>
      <c r="Q6" s="17">
        <v>1365</v>
      </c>
      <c r="R6" s="17">
        <v>32423.5</v>
      </c>
      <c r="S6" s="17">
        <v>1422</v>
      </c>
      <c r="T6" s="17">
        <v>32423.5</v>
      </c>
      <c r="U6" s="17">
        <v>1422</v>
      </c>
      <c r="V6" s="17">
        <v>34931.5</v>
      </c>
      <c r="W6" s="17">
        <v>1546</v>
      </c>
      <c r="X6" s="22">
        <f t="shared" ref="X6:X32" si="0">L6-N6</f>
        <v>-3748</v>
      </c>
      <c r="Y6" s="22">
        <f t="shared" ref="Y6:Y32" si="1">P6-R6</f>
        <v>-1217.5</v>
      </c>
      <c r="Z6" s="31">
        <f t="shared" ref="Z6:Z32" si="2">(H6+X6)-Y6</f>
        <v>26110.5</v>
      </c>
      <c r="AA6" s="32">
        <f>Z6/19</f>
        <v>1374.2368421052631</v>
      </c>
      <c r="AB6" s="19">
        <f t="shared" ref="AB6:AB32" si="3">Z6/AA6</f>
        <v>19</v>
      </c>
      <c r="AD6"/>
    </row>
    <row r="7" spans="1:35" ht="18.75" customHeight="1">
      <c r="A7" s="19">
        <v>3</v>
      </c>
      <c r="B7" s="20" t="s">
        <v>69</v>
      </c>
      <c r="C7" s="21" t="s">
        <v>16</v>
      </c>
      <c r="D7" s="20">
        <v>154156.1</v>
      </c>
      <c r="E7" s="20">
        <v>4174.5</v>
      </c>
      <c r="F7" s="20">
        <v>155507.6</v>
      </c>
      <c r="G7" s="17">
        <v>4034</v>
      </c>
      <c r="H7" s="177">
        <v>151289.60000000001</v>
      </c>
      <c r="I7" s="17">
        <v>4097</v>
      </c>
      <c r="J7" s="17">
        <v>152177.60000000001</v>
      </c>
      <c r="K7" s="17">
        <v>4121</v>
      </c>
      <c r="L7" s="17">
        <v>155914.6</v>
      </c>
      <c r="M7" s="17">
        <v>4222</v>
      </c>
      <c r="N7" s="17">
        <v>158726.6</v>
      </c>
      <c r="O7" s="17">
        <v>4304</v>
      </c>
      <c r="P7" s="17">
        <v>159207.6</v>
      </c>
      <c r="Q7" s="17">
        <v>4317</v>
      </c>
      <c r="R7" s="17">
        <v>159318.6</v>
      </c>
      <c r="S7" s="17">
        <v>4320</v>
      </c>
      <c r="T7" s="17">
        <v>159318.6</v>
      </c>
      <c r="U7" s="17">
        <v>4320</v>
      </c>
      <c r="V7" s="17">
        <v>163388.6</v>
      </c>
      <c r="W7" s="17">
        <v>4430</v>
      </c>
      <c r="X7" s="22">
        <f t="shared" si="0"/>
        <v>-2812</v>
      </c>
      <c r="Y7" s="22">
        <f t="shared" si="1"/>
        <v>-111</v>
      </c>
      <c r="Z7" s="31">
        <f t="shared" si="2"/>
        <v>148588.6</v>
      </c>
      <c r="AA7" s="32">
        <f>Z7/37</f>
        <v>4015.9081081081081</v>
      </c>
      <c r="AB7" s="19">
        <f t="shared" si="3"/>
        <v>37</v>
      </c>
      <c r="AD7"/>
      <c r="AF7" s="46"/>
      <c r="AG7" s="46"/>
      <c r="AH7" s="46"/>
      <c r="AI7" s="46"/>
    </row>
    <row r="8" spans="1:35" ht="15.75">
      <c r="A8" s="19">
        <v>4</v>
      </c>
      <c r="B8" s="20" t="s">
        <v>69</v>
      </c>
      <c r="C8" s="21" t="s">
        <v>17</v>
      </c>
      <c r="D8" s="20">
        <v>3655</v>
      </c>
      <c r="E8" s="20">
        <v>215</v>
      </c>
      <c r="F8" s="20">
        <v>3655</v>
      </c>
      <c r="G8" s="17">
        <v>215</v>
      </c>
      <c r="H8" s="177">
        <v>4029</v>
      </c>
      <c r="I8" s="17">
        <v>237</v>
      </c>
      <c r="J8" s="17">
        <v>4080</v>
      </c>
      <c r="K8" s="17">
        <v>240</v>
      </c>
      <c r="L8" s="17">
        <v>4335</v>
      </c>
      <c r="M8" s="17">
        <v>255</v>
      </c>
      <c r="N8" s="17">
        <v>4760</v>
      </c>
      <c r="O8" s="17">
        <v>297</v>
      </c>
      <c r="P8" s="17">
        <v>5372</v>
      </c>
      <c r="Q8" s="17">
        <v>333</v>
      </c>
      <c r="R8" s="17">
        <v>5372</v>
      </c>
      <c r="S8" s="17">
        <v>333</v>
      </c>
      <c r="T8" s="17">
        <v>5372</v>
      </c>
      <c r="U8" s="17">
        <v>333</v>
      </c>
      <c r="V8" s="17">
        <v>5372</v>
      </c>
      <c r="W8" s="17">
        <v>333</v>
      </c>
      <c r="X8" s="22">
        <f t="shared" si="0"/>
        <v>-425</v>
      </c>
      <c r="Y8" s="22">
        <f t="shared" si="1"/>
        <v>0</v>
      </c>
      <c r="Z8" s="31">
        <f t="shared" si="2"/>
        <v>3604</v>
      </c>
      <c r="AA8" s="32">
        <f>Z8/17</f>
        <v>212</v>
      </c>
      <c r="AB8" s="19">
        <f t="shared" si="3"/>
        <v>17</v>
      </c>
      <c r="AD8"/>
    </row>
    <row r="9" spans="1:35" s="73" customFormat="1" ht="15.75">
      <c r="A9" s="37">
        <v>5</v>
      </c>
      <c r="B9" s="31" t="s">
        <v>69</v>
      </c>
      <c r="C9" s="25" t="s">
        <v>18</v>
      </c>
      <c r="D9" s="20">
        <v>41562.5</v>
      </c>
      <c r="E9" s="20">
        <v>7824</v>
      </c>
      <c r="F9" s="20">
        <v>41837.5</v>
      </c>
      <c r="G9" s="17">
        <v>7879</v>
      </c>
      <c r="H9" s="177">
        <v>39187.5</v>
      </c>
      <c r="I9" s="17">
        <v>7349</v>
      </c>
      <c r="J9" s="17">
        <v>41617.5</v>
      </c>
      <c r="K9" s="17">
        <v>7835</v>
      </c>
      <c r="L9" s="17">
        <v>41637.5</v>
      </c>
      <c r="M9" s="17">
        <v>7839</v>
      </c>
      <c r="N9" s="17">
        <v>41692.5</v>
      </c>
      <c r="O9" s="17">
        <v>7850</v>
      </c>
      <c r="P9" s="17">
        <v>43557.5</v>
      </c>
      <c r="Q9" s="17">
        <v>8223</v>
      </c>
      <c r="R9" s="17">
        <v>43557.5</v>
      </c>
      <c r="S9" s="17">
        <v>8223</v>
      </c>
      <c r="T9" s="17">
        <v>43557.5</v>
      </c>
      <c r="U9" s="17">
        <v>8223</v>
      </c>
      <c r="V9" s="17">
        <v>43392.5</v>
      </c>
      <c r="W9" s="17">
        <v>8190</v>
      </c>
      <c r="X9" s="22">
        <f t="shared" si="0"/>
        <v>-55</v>
      </c>
      <c r="Y9" s="22">
        <f t="shared" si="1"/>
        <v>0</v>
      </c>
      <c r="Z9" s="31">
        <f t="shared" si="2"/>
        <v>39132.5</v>
      </c>
      <c r="AA9" s="72">
        <f>Z9/5</f>
        <v>7826.5</v>
      </c>
      <c r="AB9" s="19">
        <f t="shared" si="3"/>
        <v>5</v>
      </c>
      <c r="AC9" s="35"/>
      <c r="AD9"/>
    </row>
    <row r="10" spans="1:35" ht="15.75">
      <c r="A10" s="19">
        <v>6</v>
      </c>
      <c r="B10" s="20" t="s">
        <v>69</v>
      </c>
      <c r="C10" s="21" t="s">
        <v>19</v>
      </c>
      <c r="D10" s="20">
        <v>4622.18</v>
      </c>
      <c r="E10" s="20">
        <v>7698</v>
      </c>
      <c r="F10" s="20">
        <v>4388.18</v>
      </c>
      <c r="G10" s="17">
        <v>7308</v>
      </c>
      <c r="H10" s="177">
        <v>4298.18</v>
      </c>
      <c r="I10" s="17">
        <v>7158</v>
      </c>
      <c r="J10" s="17">
        <v>3777.38</v>
      </c>
      <c r="K10" s="17">
        <v>6283.2</v>
      </c>
      <c r="L10" s="17">
        <v>3809.38</v>
      </c>
      <c r="M10" s="17">
        <v>6336.2</v>
      </c>
      <c r="N10" s="17">
        <v>3820.78</v>
      </c>
      <c r="O10" s="17">
        <v>6355.2</v>
      </c>
      <c r="P10" s="17">
        <v>3820.78</v>
      </c>
      <c r="Q10" s="17">
        <v>6355.2</v>
      </c>
      <c r="R10" s="17">
        <v>3820.78</v>
      </c>
      <c r="S10" s="17">
        <v>6355.2</v>
      </c>
      <c r="T10" s="17">
        <v>3820.78</v>
      </c>
      <c r="U10" s="17">
        <v>6355.2</v>
      </c>
      <c r="V10" s="17">
        <v>3388.88</v>
      </c>
      <c r="W10" s="17">
        <v>5635.2</v>
      </c>
      <c r="X10" s="22">
        <f t="shared" si="0"/>
        <v>-11.400000000000091</v>
      </c>
      <c r="Y10" s="22">
        <f t="shared" si="1"/>
        <v>0</v>
      </c>
      <c r="Z10" s="31">
        <f t="shared" si="2"/>
        <v>4286.7800000000007</v>
      </c>
      <c r="AA10" s="32">
        <f>Z10/0.6</f>
        <v>7144.633333333335</v>
      </c>
      <c r="AB10" s="19">
        <f t="shared" si="3"/>
        <v>0.6</v>
      </c>
      <c r="AD10"/>
    </row>
    <row r="11" spans="1:35" ht="16.5" customHeight="1">
      <c r="A11" s="19">
        <v>7</v>
      </c>
      <c r="B11" s="20" t="s">
        <v>69</v>
      </c>
      <c r="C11" s="24" t="s">
        <v>20</v>
      </c>
      <c r="D11" s="20">
        <v>9943</v>
      </c>
      <c r="E11" s="20">
        <v>2029</v>
      </c>
      <c r="F11" s="20">
        <v>9943</v>
      </c>
      <c r="G11" s="17">
        <v>2029</v>
      </c>
      <c r="H11" s="177">
        <v>5518</v>
      </c>
      <c r="I11" s="17">
        <v>1104</v>
      </c>
      <c r="J11" s="17">
        <v>5193</v>
      </c>
      <c r="K11" s="17">
        <v>1033</v>
      </c>
      <c r="L11" s="17">
        <v>5193</v>
      </c>
      <c r="M11" s="17">
        <v>1033</v>
      </c>
      <c r="N11" s="17">
        <v>6098</v>
      </c>
      <c r="O11" s="17">
        <v>1214</v>
      </c>
      <c r="P11" s="17">
        <v>7798</v>
      </c>
      <c r="Q11" s="17">
        <v>1554</v>
      </c>
      <c r="R11" s="17">
        <v>7798</v>
      </c>
      <c r="S11" s="17">
        <v>1554</v>
      </c>
      <c r="T11" s="17">
        <v>7798</v>
      </c>
      <c r="U11" s="17">
        <v>1554</v>
      </c>
      <c r="V11" s="17">
        <v>8583</v>
      </c>
      <c r="W11" s="17">
        <v>1711</v>
      </c>
      <c r="X11" s="22">
        <f t="shared" si="0"/>
        <v>-905</v>
      </c>
      <c r="Y11" s="22">
        <f t="shared" si="1"/>
        <v>0</v>
      </c>
      <c r="Z11" s="31">
        <f t="shared" si="2"/>
        <v>4613</v>
      </c>
      <c r="AA11" s="32">
        <f>Z11/5</f>
        <v>922.6</v>
      </c>
      <c r="AB11" s="19">
        <f t="shared" si="3"/>
        <v>5</v>
      </c>
      <c r="AD11"/>
    </row>
    <row r="12" spans="1:35" ht="15.75">
      <c r="A12" s="19">
        <v>8</v>
      </c>
      <c r="B12" s="20" t="s">
        <v>69</v>
      </c>
      <c r="C12" s="24" t="s">
        <v>22</v>
      </c>
      <c r="D12" s="20">
        <v>32768</v>
      </c>
      <c r="E12" s="20">
        <v>6559</v>
      </c>
      <c r="F12" s="20">
        <v>32773</v>
      </c>
      <c r="G12" s="17">
        <v>6559</v>
      </c>
      <c r="H12" s="177">
        <v>29088</v>
      </c>
      <c r="I12" s="17">
        <v>6025</v>
      </c>
      <c r="J12" s="17">
        <v>20028</v>
      </c>
      <c r="K12" s="17">
        <v>4011</v>
      </c>
      <c r="L12" s="17">
        <v>20028</v>
      </c>
      <c r="M12" s="17">
        <v>4011</v>
      </c>
      <c r="N12" s="17">
        <v>20128</v>
      </c>
      <c r="O12" s="17">
        <v>4031</v>
      </c>
      <c r="P12" s="17">
        <v>18678</v>
      </c>
      <c r="Q12" s="17">
        <v>3741</v>
      </c>
      <c r="R12" s="17">
        <v>17148</v>
      </c>
      <c r="S12" s="17">
        <v>3435</v>
      </c>
      <c r="T12" s="17">
        <v>17148</v>
      </c>
      <c r="U12" s="17">
        <v>3435</v>
      </c>
      <c r="V12" s="17">
        <v>15088</v>
      </c>
      <c r="W12" s="17">
        <v>3023</v>
      </c>
      <c r="X12" s="22">
        <f t="shared" si="0"/>
        <v>-100</v>
      </c>
      <c r="Y12" s="22">
        <f t="shared" si="1"/>
        <v>1530</v>
      </c>
      <c r="Z12" s="31">
        <f t="shared" si="2"/>
        <v>27458</v>
      </c>
      <c r="AA12" s="32">
        <f>Z12/5</f>
        <v>5491.6</v>
      </c>
      <c r="AB12" s="19">
        <f t="shared" si="3"/>
        <v>5</v>
      </c>
      <c r="AD12"/>
    </row>
    <row r="13" spans="1:35" ht="15.75">
      <c r="A13" s="19">
        <v>9</v>
      </c>
      <c r="B13" s="20" t="s">
        <v>69</v>
      </c>
      <c r="C13" s="24" t="s">
        <v>23</v>
      </c>
      <c r="D13" s="20">
        <v>1006.5</v>
      </c>
      <c r="E13" s="20">
        <v>1301</v>
      </c>
      <c r="F13" s="20">
        <v>1006.5</v>
      </c>
      <c r="G13" s="17">
        <v>1301</v>
      </c>
      <c r="H13" s="177">
        <v>1006.5</v>
      </c>
      <c r="I13" s="17">
        <v>1303</v>
      </c>
      <c r="J13" s="17">
        <v>716.1</v>
      </c>
      <c r="K13" s="17">
        <v>940</v>
      </c>
      <c r="L13" s="17">
        <v>716.1</v>
      </c>
      <c r="M13" s="17">
        <v>940</v>
      </c>
      <c r="N13" s="17">
        <v>716.9</v>
      </c>
      <c r="O13" s="17">
        <v>941</v>
      </c>
      <c r="P13" s="17">
        <f>Q13*0.8</f>
        <v>32.800000000000004</v>
      </c>
      <c r="Q13" s="17">
        <v>41</v>
      </c>
      <c r="R13" s="17">
        <v>32.799999999999997</v>
      </c>
      <c r="S13" s="17">
        <v>41</v>
      </c>
      <c r="T13" s="17">
        <v>32.799999999999997</v>
      </c>
      <c r="U13" s="17">
        <v>41</v>
      </c>
      <c r="V13" s="17">
        <v>12.9</v>
      </c>
      <c r="W13" s="17">
        <v>61</v>
      </c>
      <c r="X13" s="22">
        <f t="shared" si="0"/>
        <v>-0.79999999999995453</v>
      </c>
      <c r="Y13" s="22">
        <f t="shared" si="1"/>
        <v>0</v>
      </c>
      <c r="Z13" s="31">
        <f t="shared" si="2"/>
        <v>1005.7</v>
      </c>
      <c r="AA13" s="32">
        <f>Z13/0.8</f>
        <v>1257.125</v>
      </c>
      <c r="AB13" s="19">
        <f t="shared" si="3"/>
        <v>0.8</v>
      </c>
      <c r="AD13"/>
      <c r="AH13" t="s">
        <v>21</v>
      </c>
    </row>
    <row r="14" spans="1:35" ht="15.75">
      <c r="A14" s="19">
        <v>10</v>
      </c>
      <c r="B14" s="20" t="s">
        <v>69</v>
      </c>
      <c r="C14" s="24" t="s">
        <v>25</v>
      </c>
      <c r="D14" s="20">
        <v>7544.5</v>
      </c>
      <c r="E14" s="20">
        <v>0</v>
      </c>
      <c r="F14" s="20">
        <v>7544.5</v>
      </c>
      <c r="G14" s="17">
        <v>0</v>
      </c>
      <c r="H14" s="177">
        <v>7544.5</v>
      </c>
      <c r="I14" s="17">
        <v>0</v>
      </c>
      <c r="J14" s="17">
        <v>6430.5</v>
      </c>
      <c r="K14" s="17">
        <v>0</v>
      </c>
      <c r="L14" s="17">
        <v>6430.5</v>
      </c>
      <c r="M14" s="17">
        <v>0</v>
      </c>
      <c r="N14" s="17">
        <v>6455.4</v>
      </c>
      <c r="O14" s="17">
        <v>0</v>
      </c>
      <c r="P14" s="17">
        <v>6455.4</v>
      </c>
      <c r="Q14" s="17">
        <v>0</v>
      </c>
      <c r="R14" s="17">
        <v>6455.4</v>
      </c>
      <c r="S14" s="17">
        <v>0</v>
      </c>
      <c r="T14" s="17">
        <v>6455.4</v>
      </c>
      <c r="U14" s="17">
        <v>0</v>
      </c>
      <c r="V14" s="17">
        <v>6455.4</v>
      </c>
      <c r="W14" s="17"/>
      <c r="X14" s="22">
        <f t="shared" si="0"/>
        <v>-24.899999999999636</v>
      </c>
      <c r="Y14" s="22">
        <f t="shared" si="1"/>
        <v>0</v>
      </c>
      <c r="Z14" s="31">
        <f t="shared" si="2"/>
        <v>7519.6</v>
      </c>
      <c r="AA14" s="32">
        <v>0</v>
      </c>
      <c r="AB14" s="19" t="e">
        <f t="shared" si="3"/>
        <v>#DIV/0!</v>
      </c>
      <c r="AD14"/>
    </row>
    <row r="15" spans="1:35" ht="15.75">
      <c r="A15" s="19">
        <v>11</v>
      </c>
      <c r="B15" s="20" t="s">
        <v>69</v>
      </c>
      <c r="C15" s="24" t="s">
        <v>26</v>
      </c>
      <c r="D15" s="20">
        <v>15502</v>
      </c>
      <c r="E15" s="20">
        <v>0</v>
      </c>
      <c r="F15" s="20">
        <v>15520</v>
      </c>
      <c r="G15" s="17">
        <v>0</v>
      </c>
      <c r="H15" s="177">
        <v>13382</v>
      </c>
      <c r="I15" s="17">
        <v>0</v>
      </c>
      <c r="J15" s="17">
        <v>10012</v>
      </c>
      <c r="K15" s="17">
        <v>0</v>
      </c>
      <c r="L15" s="17">
        <v>10032</v>
      </c>
      <c r="M15" s="17">
        <v>0</v>
      </c>
      <c r="N15" s="17">
        <v>10212</v>
      </c>
      <c r="O15" s="17">
        <v>0</v>
      </c>
      <c r="P15" s="17">
        <v>8598</v>
      </c>
      <c r="Q15" s="17">
        <v>0</v>
      </c>
      <c r="R15" s="17">
        <v>8738</v>
      </c>
      <c r="S15" s="17">
        <v>0</v>
      </c>
      <c r="T15" s="17">
        <v>8738</v>
      </c>
      <c r="U15" s="17">
        <v>0</v>
      </c>
      <c r="V15" s="17">
        <v>8408</v>
      </c>
      <c r="W15" s="17"/>
      <c r="X15" s="22">
        <f t="shared" si="0"/>
        <v>-180</v>
      </c>
      <c r="Y15" s="22">
        <f t="shared" si="1"/>
        <v>-140</v>
      </c>
      <c r="Z15" s="31">
        <f t="shared" si="2"/>
        <v>13342</v>
      </c>
      <c r="AA15" s="32">
        <v>0</v>
      </c>
      <c r="AB15" s="19" t="e">
        <f t="shared" si="3"/>
        <v>#DIV/0!</v>
      </c>
      <c r="AD15"/>
    </row>
    <row r="16" spans="1:35" ht="15.75">
      <c r="A16" s="19">
        <v>12</v>
      </c>
      <c r="B16" s="20" t="s">
        <v>69</v>
      </c>
      <c r="C16" s="21" t="s">
        <v>27</v>
      </c>
      <c r="D16" s="20">
        <v>67</v>
      </c>
      <c r="E16" s="20">
        <v>0</v>
      </c>
      <c r="F16" s="20">
        <v>67</v>
      </c>
      <c r="G16" s="17">
        <v>0</v>
      </c>
      <c r="H16" s="177">
        <v>67</v>
      </c>
      <c r="I16" s="17">
        <v>0</v>
      </c>
      <c r="J16" s="17">
        <v>67</v>
      </c>
      <c r="K16" s="17">
        <v>1</v>
      </c>
      <c r="L16" s="17">
        <v>67</v>
      </c>
      <c r="M16" s="17">
        <v>1</v>
      </c>
      <c r="N16" s="17">
        <v>67</v>
      </c>
      <c r="O16" s="17">
        <v>1</v>
      </c>
      <c r="P16" s="17">
        <v>67</v>
      </c>
      <c r="Q16" s="17">
        <v>1</v>
      </c>
      <c r="R16" s="17">
        <v>67</v>
      </c>
      <c r="S16" s="17">
        <v>1</v>
      </c>
      <c r="T16" s="17">
        <v>67</v>
      </c>
      <c r="U16" s="17">
        <v>1</v>
      </c>
      <c r="V16" s="17">
        <v>67</v>
      </c>
      <c r="W16" s="17"/>
      <c r="X16" s="22">
        <f t="shared" si="0"/>
        <v>0</v>
      </c>
      <c r="Y16" s="22">
        <f t="shared" si="1"/>
        <v>0</v>
      </c>
      <c r="Z16" s="31">
        <f t="shared" si="2"/>
        <v>67</v>
      </c>
      <c r="AA16" s="32">
        <v>0</v>
      </c>
      <c r="AB16" s="19" t="e">
        <f t="shared" si="3"/>
        <v>#DIV/0!</v>
      </c>
      <c r="AD16"/>
    </row>
    <row r="17" spans="1:30" ht="15.75">
      <c r="A17" s="19">
        <v>13</v>
      </c>
      <c r="B17" s="20" t="s">
        <v>69</v>
      </c>
      <c r="C17" s="25" t="s">
        <v>28</v>
      </c>
      <c r="D17" s="20">
        <v>39340.5</v>
      </c>
      <c r="E17" s="20">
        <v>2140.5</v>
      </c>
      <c r="F17" s="20">
        <v>40020.5</v>
      </c>
      <c r="G17" s="17">
        <v>2140.5</v>
      </c>
      <c r="H17" s="177">
        <v>40105.5</v>
      </c>
      <c r="I17" s="17">
        <v>2185.5</v>
      </c>
      <c r="J17" s="17">
        <v>31771.5</v>
      </c>
      <c r="K17" s="17">
        <v>1714.5</v>
      </c>
      <c r="L17" s="17">
        <v>32220</v>
      </c>
      <c r="M17" s="17">
        <v>1742.5</v>
      </c>
      <c r="N17" s="17">
        <v>34806</v>
      </c>
      <c r="O17" s="17">
        <v>1894.5</v>
      </c>
      <c r="P17" s="17">
        <v>34806</v>
      </c>
      <c r="Q17" s="17">
        <v>1894</v>
      </c>
      <c r="R17" s="17">
        <v>34806</v>
      </c>
      <c r="S17" s="17">
        <v>1894.5</v>
      </c>
      <c r="T17" s="17">
        <v>34806</v>
      </c>
      <c r="U17" s="17">
        <v>1894.5</v>
      </c>
      <c r="V17" s="17">
        <v>32596</v>
      </c>
      <c r="W17" s="17">
        <v>1764.5</v>
      </c>
      <c r="X17" s="22">
        <f t="shared" si="0"/>
        <v>-2586</v>
      </c>
      <c r="Y17" s="22">
        <f t="shared" si="1"/>
        <v>0</v>
      </c>
      <c r="Z17" s="31">
        <f t="shared" si="2"/>
        <v>37519.5</v>
      </c>
      <c r="AA17" s="32">
        <f>Z17/17</f>
        <v>2207.0294117647059</v>
      </c>
      <c r="AB17" s="19">
        <f t="shared" si="3"/>
        <v>17</v>
      </c>
      <c r="AD17"/>
    </row>
    <row r="18" spans="1:30" ht="15.75">
      <c r="A18" s="19">
        <v>14</v>
      </c>
      <c r="B18" s="20" t="s">
        <v>69</v>
      </c>
      <c r="C18" s="25" t="s">
        <v>29</v>
      </c>
      <c r="D18" s="20">
        <v>4320</v>
      </c>
      <c r="E18" s="20">
        <v>240</v>
      </c>
      <c r="F18" s="20">
        <v>4320</v>
      </c>
      <c r="G18" s="17">
        <v>240</v>
      </c>
      <c r="H18" s="177">
        <v>4320</v>
      </c>
      <c r="I18" s="17">
        <v>240</v>
      </c>
      <c r="J18" s="17">
        <v>4320</v>
      </c>
      <c r="K18" s="17">
        <v>240</v>
      </c>
      <c r="L18" s="17">
        <v>4320</v>
      </c>
      <c r="M18" s="17">
        <v>240</v>
      </c>
      <c r="N18" s="17">
        <v>4320</v>
      </c>
      <c r="O18" s="17">
        <v>240</v>
      </c>
      <c r="P18" s="17">
        <v>4320</v>
      </c>
      <c r="Q18" s="17">
        <v>240</v>
      </c>
      <c r="R18" s="17">
        <v>4320</v>
      </c>
      <c r="S18" s="17">
        <v>240</v>
      </c>
      <c r="T18" s="17">
        <v>4320</v>
      </c>
      <c r="U18" s="17">
        <v>240</v>
      </c>
      <c r="V18" s="17">
        <v>4320</v>
      </c>
      <c r="W18" s="17">
        <v>240</v>
      </c>
      <c r="X18" s="22">
        <f t="shared" si="0"/>
        <v>0</v>
      </c>
      <c r="Y18" s="22">
        <f t="shared" si="1"/>
        <v>0</v>
      </c>
      <c r="Z18" s="31">
        <f t="shared" si="2"/>
        <v>4320</v>
      </c>
      <c r="AA18" s="32">
        <f>Z18/17</f>
        <v>254.11764705882354</v>
      </c>
      <c r="AB18" s="19">
        <f t="shared" si="3"/>
        <v>17</v>
      </c>
      <c r="AD18"/>
    </row>
    <row r="19" spans="1:30" ht="15.75">
      <c r="A19" s="19">
        <v>15</v>
      </c>
      <c r="B19" s="20" t="s">
        <v>69</v>
      </c>
      <c r="C19" s="25" t="s">
        <v>30</v>
      </c>
      <c r="D19" s="20">
        <v>74104.600000000006</v>
      </c>
      <c r="E19" s="20">
        <v>0</v>
      </c>
      <c r="F19" s="20">
        <v>74304.600000000006</v>
      </c>
      <c r="G19" s="17">
        <v>0</v>
      </c>
      <c r="H19" s="177">
        <v>62914.6</v>
      </c>
      <c r="I19" s="17">
        <v>0</v>
      </c>
      <c r="J19" s="17">
        <v>47224.6</v>
      </c>
      <c r="K19" s="17">
        <v>0</v>
      </c>
      <c r="L19" s="17">
        <v>49897.1</v>
      </c>
      <c r="M19" s="17">
        <v>0</v>
      </c>
      <c r="N19" s="17">
        <v>50327</v>
      </c>
      <c r="O19" s="17">
        <v>0</v>
      </c>
      <c r="P19" s="17">
        <v>46503.1</v>
      </c>
      <c r="Q19" s="17">
        <v>0</v>
      </c>
      <c r="R19" s="17">
        <v>44033.1</v>
      </c>
      <c r="S19" s="17">
        <v>0</v>
      </c>
      <c r="T19" s="17">
        <v>44033.1</v>
      </c>
      <c r="U19" s="17">
        <v>0</v>
      </c>
      <c r="V19" s="17">
        <v>42633.1</v>
      </c>
      <c r="W19" s="17"/>
      <c r="X19" s="22">
        <f t="shared" si="0"/>
        <v>-429.90000000000146</v>
      </c>
      <c r="Y19" s="22">
        <f t="shared" si="1"/>
        <v>2470</v>
      </c>
      <c r="Z19" s="31">
        <f t="shared" si="2"/>
        <v>60014.7</v>
      </c>
      <c r="AA19" s="32">
        <v>0</v>
      </c>
      <c r="AB19" s="19" t="e">
        <f t="shared" si="3"/>
        <v>#DIV/0!</v>
      </c>
      <c r="AD19"/>
    </row>
    <row r="20" spans="1:30" ht="15.75">
      <c r="A20" s="19">
        <v>16</v>
      </c>
      <c r="B20" s="20" t="s">
        <v>69</v>
      </c>
      <c r="C20" s="25" t="s">
        <v>31</v>
      </c>
      <c r="D20" s="20">
        <v>53001.8</v>
      </c>
      <c r="E20" s="20">
        <v>0</v>
      </c>
      <c r="F20" s="20">
        <v>53021.8</v>
      </c>
      <c r="G20" s="17">
        <v>0</v>
      </c>
      <c r="H20" s="177">
        <v>42533.8</v>
      </c>
      <c r="I20" s="17">
        <v>0</v>
      </c>
      <c r="J20" s="17">
        <v>21090.799999999999</v>
      </c>
      <c r="K20" s="17">
        <v>0</v>
      </c>
      <c r="L20" s="17">
        <v>21965.8</v>
      </c>
      <c r="M20" s="17">
        <v>0</v>
      </c>
      <c r="N20" s="17">
        <v>24032.799999999999</v>
      </c>
      <c r="O20" s="17">
        <v>0</v>
      </c>
      <c r="P20" s="17">
        <v>24235.8</v>
      </c>
      <c r="Q20" s="17">
        <v>0</v>
      </c>
      <c r="R20" s="17">
        <v>25384.799999999999</v>
      </c>
      <c r="S20" s="17">
        <v>0</v>
      </c>
      <c r="T20" s="17">
        <v>25384.799999999999</v>
      </c>
      <c r="U20" s="17">
        <v>0</v>
      </c>
      <c r="V20" s="17">
        <v>24961.8</v>
      </c>
      <c r="W20" s="17"/>
      <c r="X20" s="22">
        <f t="shared" si="0"/>
        <v>-2067</v>
      </c>
      <c r="Y20" s="22">
        <f t="shared" si="1"/>
        <v>-1149</v>
      </c>
      <c r="Z20" s="31">
        <f t="shared" si="2"/>
        <v>41615.800000000003</v>
      </c>
      <c r="AA20" s="32">
        <v>0</v>
      </c>
      <c r="AB20" s="19" t="e">
        <f t="shared" si="3"/>
        <v>#DIV/0!</v>
      </c>
      <c r="AD20"/>
    </row>
    <row r="21" spans="1:30" ht="15.75">
      <c r="A21" s="19">
        <v>17</v>
      </c>
      <c r="B21" s="20" t="s">
        <v>69</v>
      </c>
      <c r="C21" s="25" t="s">
        <v>32</v>
      </c>
      <c r="D21" s="20">
        <v>1550</v>
      </c>
      <c r="E21" s="20">
        <v>0</v>
      </c>
      <c r="F21" s="20">
        <v>2600</v>
      </c>
      <c r="G21" s="17">
        <v>0</v>
      </c>
      <c r="H21" s="177">
        <v>2750</v>
      </c>
      <c r="I21" s="17">
        <v>0</v>
      </c>
      <c r="J21" s="17">
        <v>3140</v>
      </c>
      <c r="K21" s="17">
        <v>0</v>
      </c>
      <c r="L21" s="17">
        <v>3140</v>
      </c>
      <c r="M21" s="17">
        <v>0</v>
      </c>
      <c r="N21" s="17">
        <v>3140</v>
      </c>
      <c r="O21" s="17">
        <v>0</v>
      </c>
      <c r="P21" s="17">
        <v>3140</v>
      </c>
      <c r="Q21" s="17">
        <v>0</v>
      </c>
      <c r="R21" s="17">
        <v>3140</v>
      </c>
      <c r="S21" s="17">
        <v>0</v>
      </c>
      <c r="T21" s="17">
        <v>3140</v>
      </c>
      <c r="U21" s="17">
        <v>0</v>
      </c>
      <c r="V21" s="17">
        <v>3140</v>
      </c>
      <c r="W21" s="17"/>
      <c r="X21" s="22">
        <f t="shared" si="0"/>
        <v>0</v>
      </c>
      <c r="Y21" s="22">
        <f t="shared" si="1"/>
        <v>0</v>
      </c>
      <c r="Z21" s="31">
        <f t="shared" si="2"/>
        <v>2750</v>
      </c>
      <c r="AA21" s="32">
        <v>0</v>
      </c>
      <c r="AB21" s="19" t="e">
        <f t="shared" si="3"/>
        <v>#DIV/0!</v>
      </c>
      <c r="AD21"/>
    </row>
    <row r="22" spans="1:30" ht="15.75">
      <c r="A22" s="19">
        <v>18</v>
      </c>
      <c r="B22" s="20" t="s">
        <v>69</v>
      </c>
      <c r="C22" s="25" t="s">
        <v>33</v>
      </c>
      <c r="D22" s="20">
        <v>11195</v>
      </c>
      <c r="E22" s="20">
        <v>0</v>
      </c>
      <c r="F22" s="20">
        <v>11445</v>
      </c>
      <c r="G22" s="17">
        <v>0</v>
      </c>
      <c r="H22" s="177">
        <v>13380</v>
      </c>
      <c r="I22" s="17">
        <v>0</v>
      </c>
      <c r="J22" s="17">
        <v>8221</v>
      </c>
      <c r="K22" s="17">
        <v>0</v>
      </c>
      <c r="L22" s="17">
        <v>8271</v>
      </c>
      <c r="M22" s="17">
        <v>0</v>
      </c>
      <c r="N22" s="17">
        <v>10766</v>
      </c>
      <c r="O22" s="17">
        <v>0</v>
      </c>
      <c r="P22" s="17">
        <v>10926</v>
      </c>
      <c r="Q22" s="17">
        <v>0</v>
      </c>
      <c r="R22" s="17">
        <v>11546</v>
      </c>
      <c r="S22" s="17">
        <v>0</v>
      </c>
      <c r="T22" s="17">
        <v>11546</v>
      </c>
      <c r="U22" s="17">
        <v>0</v>
      </c>
      <c r="V22" s="17">
        <v>10816</v>
      </c>
      <c r="W22" s="17"/>
      <c r="X22" s="22">
        <f t="shared" si="0"/>
        <v>-2495</v>
      </c>
      <c r="Y22" s="22">
        <f t="shared" si="1"/>
        <v>-620</v>
      </c>
      <c r="Z22" s="31">
        <f t="shared" si="2"/>
        <v>11505</v>
      </c>
      <c r="AA22" s="32">
        <v>0</v>
      </c>
      <c r="AB22" s="19" t="e">
        <f t="shared" si="3"/>
        <v>#DIV/0!</v>
      </c>
      <c r="AD22"/>
    </row>
    <row r="23" spans="1:30" ht="15.75">
      <c r="A23" s="19">
        <v>19</v>
      </c>
      <c r="B23" s="20" t="s">
        <v>69</v>
      </c>
      <c r="C23" s="25" t="s">
        <v>34</v>
      </c>
      <c r="D23" s="20">
        <v>0</v>
      </c>
      <c r="E23" s="20">
        <v>0</v>
      </c>
      <c r="F23" s="20">
        <v>0</v>
      </c>
      <c r="G23" s="17">
        <v>0</v>
      </c>
      <c r="H23" s="177">
        <v>0</v>
      </c>
      <c r="I23" s="17">
        <v>0</v>
      </c>
      <c r="J23" s="17"/>
      <c r="K23" s="17">
        <v>0</v>
      </c>
      <c r="L23" s="17"/>
      <c r="M23" s="17">
        <v>0</v>
      </c>
      <c r="N23" s="17"/>
      <c r="O23" s="17">
        <v>0</v>
      </c>
      <c r="P23" s="17"/>
      <c r="Q23" s="17">
        <v>0</v>
      </c>
      <c r="R23" s="17"/>
      <c r="S23" s="17">
        <v>0</v>
      </c>
      <c r="T23" s="17"/>
      <c r="U23" s="17">
        <v>0</v>
      </c>
      <c r="V23" s="17">
        <v>0</v>
      </c>
      <c r="W23" s="17"/>
      <c r="X23" s="22">
        <f t="shared" si="0"/>
        <v>0</v>
      </c>
      <c r="Y23" s="22">
        <f t="shared" si="1"/>
        <v>0</v>
      </c>
      <c r="Z23" s="31">
        <f t="shared" si="2"/>
        <v>0</v>
      </c>
      <c r="AA23" s="32">
        <v>0</v>
      </c>
      <c r="AB23" s="19" t="e">
        <f t="shared" si="3"/>
        <v>#DIV/0!</v>
      </c>
      <c r="AD23"/>
    </row>
    <row r="24" spans="1:30" ht="15.75">
      <c r="A24" s="19">
        <v>20</v>
      </c>
      <c r="B24" s="20" t="s">
        <v>69</v>
      </c>
      <c r="C24" s="25" t="s">
        <v>35</v>
      </c>
      <c r="D24" s="20">
        <v>4810</v>
      </c>
      <c r="E24" s="20">
        <v>0</v>
      </c>
      <c r="F24" s="20">
        <v>4810</v>
      </c>
      <c r="G24" s="17">
        <v>0</v>
      </c>
      <c r="H24" s="177">
        <v>4810</v>
      </c>
      <c r="I24" s="17">
        <v>0</v>
      </c>
      <c r="J24" s="17">
        <v>4810</v>
      </c>
      <c r="K24" s="17">
        <v>0</v>
      </c>
      <c r="L24" s="17">
        <v>4810</v>
      </c>
      <c r="M24" s="17">
        <v>0</v>
      </c>
      <c r="N24" s="17">
        <v>4810</v>
      </c>
      <c r="O24" s="17">
        <v>0</v>
      </c>
      <c r="P24" s="17">
        <v>4810</v>
      </c>
      <c r="Q24" s="17">
        <v>0</v>
      </c>
      <c r="R24" s="17">
        <v>4810</v>
      </c>
      <c r="S24" s="17">
        <v>0</v>
      </c>
      <c r="T24" s="17">
        <v>4810</v>
      </c>
      <c r="U24" s="17">
        <v>0</v>
      </c>
      <c r="V24" s="17">
        <v>4810</v>
      </c>
      <c r="W24" s="17"/>
      <c r="X24" s="22">
        <f t="shared" si="0"/>
        <v>0</v>
      </c>
      <c r="Y24" s="22">
        <f t="shared" si="1"/>
        <v>0</v>
      </c>
      <c r="Z24" s="31">
        <f t="shared" si="2"/>
        <v>4810</v>
      </c>
      <c r="AA24" s="32">
        <v>0</v>
      </c>
      <c r="AB24" s="19" t="e">
        <f t="shared" si="3"/>
        <v>#DIV/0!</v>
      </c>
      <c r="AD24"/>
    </row>
    <row r="25" spans="1:30" ht="15.75">
      <c r="A25" s="19">
        <v>21</v>
      </c>
      <c r="B25" s="20" t="s">
        <v>69</v>
      </c>
      <c r="C25" s="25" t="s">
        <v>36</v>
      </c>
      <c r="D25" s="20">
        <v>140</v>
      </c>
      <c r="E25" s="20">
        <v>0</v>
      </c>
      <c r="F25" s="20">
        <v>140</v>
      </c>
      <c r="G25" s="17">
        <v>0</v>
      </c>
      <c r="H25" s="177">
        <v>140</v>
      </c>
      <c r="I25" s="17">
        <v>0</v>
      </c>
      <c r="J25" s="17">
        <v>210</v>
      </c>
      <c r="K25" s="17">
        <v>0</v>
      </c>
      <c r="L25" s="17">
        <v>210</v>
      </c>
      <c r="M25" s="17">
        <v>0</v>
      </c>
      <c r="N25" s="17">
        <v>210</v>
      </c>
      <c r="O25" s="17">
        <v>0</v>
      </c>
      <c r="P25" s="17">
        <v>210</v>
      </c>
      <c r="Q25" s="17">
        <v>0</v>
      </c>
      <c r="R25" s="17">
        <v>210</v>
      </c>
      <c r="S25" s="17">
        <v>0</v>
      </c>
      <c r="T25" s="17">
        <v>210</v>
      </c>
      <c r="U25" s="17">
        <v>0</v>
      </c>
      <c r="V25" s="17">
        <v>210</v>
      </c>
      <c r="W25" s="17"/>
      <c r="X25" s="22">
        <f t="shared" si="0"/>
        <v>0</v>
      </c>
      <c r="Y25" s="22">
        <f t="shared" si="1"/>
        <v>0</v>
      </c>
      <c r="Z25" s="31">
        <f t="shared" si="2"/>
        <v>140</v>
      </c>
      <c r="AA25" s="32">
        <v>0</v>
      </c>
      <c r="AB25" s="19" t="e">
        <f t="shared" si="3"/>
        <v>#DIV/0!</v>
      </c>
      <c r="AD25"/>
    </row>
    <row r="26" spans="1:30" ht="20.25" customHeight="1">
      <c r="A26" s="19">
        <v>22</v>
      </c>
      <c r="B26" s="20" t="s">
        <v>69</v>
      </c>
      <c r="C26" s="25" t="s">
        <v>37</v>
      </c>
      <c r="D26" s="20">
        <v>2255</v>
      </c>
      <c r="E26" s="20">
        <v>0</v>
      </c>
      <c r="F26" s="20">
        <v>2255</v>
      </c>
      <c r="G26" s="17">
        <v>0</v>
      </c>
      <c r="H26" s="177">
        <v>2255</v>
      </c>
      <c r="I26" s="17">
        <v>0</v>
      </c>
      <c r="J26" s="17">
        <v>1318</v>
      </c>
      <c r="K26" s="17">
        <v>0</v>
      </c>
      <c r="L26" s="17">
        <v>1318</v>
      </c>
      <c r="M26" s="17">
        <v>0</v>
      </c>
      <c r="N26" s="17">
        <v>1318</v>
      </c>
      <c r="O26" s="17">
        <v>0</v>
      </c>
      <c r="P26" s="17">
        <v>1318</v>
      </c>
      <c r="Q26" s="17">
        <v>0</v>
      </c>
      <c r="R26" s="17">
        <v>1318</v>
      </c>
      <c r="S26" s="17">
        <v>0</v>
      </c>
      <c r="T26" s="17">
        <v>1318</v>
      </c>
      <c r="U26" s="17">
        <v>0</v>
      </c>
      <c r="V26" s="17">
        <v>1338</v>
      </c>
      <c r="W26" s="17"/>
      <c r="X26" s="22">
        <f t="shared" si="0"/>
        <v>0</v>
      </c>
      <c r="Y26" s="22">
        <f t="shared" si="1"/>
        <v>0</v>
      </c>
      <c r="Z26" s="31">
        <f t="shared" si="2"/>
        <v>2255</v>
      </c>
      <c r="AA26" s="32">
        <v>0</v>
      </c>
      <c r="AB26" s="19" t="e">
        <f t="shared" si="3"/>
        <v>#DIV/0!</v>
      </c>
      <c r="AD26"/>
    </row>
    <row r="27" spans="1:30" ht="15.75">
      <c r="A27" s="19">
        <v>23</v>
      </c>
      <c r="B27" s="20" t="s">
        <v>69</v>
      </c>
      <c r="C27" s="21" t="s">
        <v>38</v>
      </c>
      <c r="D27" s="20">
        <v>0</v>
      </c>
      <c r="E27" s="20">
        <v>0</v>
      </c>
      <c r="F27" s="20">
        <v>0</v>
      </c>
      <c r="G27" s="17">
        <v>0</v>
      </c>
      <c r="H27" s="177">
        <v>0</v>
      </c>
      <c r="I27" s="17">
        <v>0</v>
      </c>
      <c r="J27" s="17"/>
      <c r="K27" s="17">
        <v>34</v>
      </c>
      <c r="L27" s="17"/>
      <c r="M27" s="17">
        <v>34</v>
      </c>
      <c r="N27" s="17">
        <f>O27*3</f>
        <v>102</v>
      </c>
      <c r="O27" s="17">
        <v>34</v>
      </c>
      <c r="P27" s="17">
        <v>102</v>
      </c>
      <c r="Q27" s="17">
        <v>34</v>
      </c>
      <c r="R27" s="17">
        <f>S27*3</f>
        <v>102</v>
      </c>
      <c r="S27" s="17">
        <v>34</v>
      </c>
      <c r="T27" s="17">
        <f>U27*3</f>
        <v>102</v>
      </c>
      <c r="U27" s="17">
        <v>34</v>
      </c>
      <c r="V27" s="17">
        <v>102</v>
      </c>
      <c r="W27" s="17">
        <v>34</v>
      </c>
      <c r="X27" s="22">
        <f t="shared" si="0"/>
        <v>-102</v>
      </c>
      <c r="Y27" s="22">
        <f t="shared" si="1"/>
        <v>0</v>
      </c>
      <c r="Z27" s="31">
        <f t="shared" si="2"/>
        <v>-102</v>
      </c>
      <c r="AA27" s="32">
        <f t="shared" ref="AA27:AA30" si="4">Z27/19</f>
        <v>-5.3684210526315788</v>
      </c>
      <c r="AB27" s="19">
        <f t="shared" si="3"/>
        <v>19</v>
      </c>
      <c r="AD27"/>
    </row>
    <row r="28" spans="1:30" ht="15.75">
      <c r="A28" s="19">
        <v>24</v>
      </c>
      <c r="B28" s="20" t="s">
        <v>69</v>
      </c>
      <c r="C28" s="21" t="s">
        <v>39</v>
      </c>
      <c r="D28" s="20">
        <f>E28*1.4</f>
        <v>362.59999999999997</v>
      </c>
      <c r="E28" s="20">
        <v>259</v>
      </c>
      <c r="F28" s="20">
        <f>G28*1.4</f>
        <v>362.59999999999997</v>
      </c>
      <c r="G28" s="17">
        <v>259</v>
      </c>
      <c r="H28" s="177">
        <v>369.6</v>
      </c>
      <c r="I28" s="17">
        <v>264</v>
      </c>
      <c r="J28" s="17">
        <v>347.2</v>
      </c>
      <c r="K28" s="17">
        <v>248</v>
      </c>
      <c r="L28" s="17">
        <v>347.2</v>
      </c>
      <c r="M28" s="17">
        <v>248</v>
      </c>
      <c r="N28" s="17">
        <f>O28*1.4</f>
        <v>347.2</v>
      </c>
      <c r="O28" s="17">
        <v>248</v>
      </c>
      <c r="P28" s="17">
        <v>347.2</v>
      </c>
      <c r="Q28" s="17">
        <v>248</v>
      </c>
      <c r="R28" s="17">
        <v>347.2</v>
      </c>
      <c r="S28" s="17">
        <v>248</v>
      </c>
      <c r="T28" s="17">
        <v>347.2</v>
      </c>
      <c r="U28" s="17">
        <v>248</v>
      </c>
      <c r="V28" s="17">
        <v>347.2</v>
      </c>
      <c r="W28" s="17">
        <v>248</v>
      </c>
      <c r="X28" s="22">
        <f t="shared" si="0"/>
        <v>0</v>
      </c>
      <c r="Y28" s="22">
        <f t="shared" si="1"/>
        <v>0</v>
      </c>
      <c r="Z28" s="31">
        <f t="shared" si="2"/>
        <v>369.6</v>
      </c>
      <c r="AA28" s="32">
        <f>Z28/1.4</f>
        <v>264.00000000000006</v>
      </c>
      <c r="AB28" s="19">
        <f t="shared" si="3"/>
        <v>1.3999999999999997</v>
      </c>
      <c r="AD28"/>
    </row>
    <row r="29" spans="1:30" ht="15.75">
      <c r="A29" s="19">
        <v>25</v>
      </c>
      <c r="B29" s="20" t="s">
        <v>69</v>
      </c>
      <c r="C29" s="21" t="s">
        <v>40</v>
      </c>
      <c r="D29" s="20">
        <f>E29*0.4</f>
        <v>1029.6000000000001</v>
      </c>
      <c r="E29" s="20">
        <v>2574</v>
      </c>
      <c r="F29" s="20">
        <f>G29*0.4</f>
        <v>1029.6000000000001</v>
      </c>
      <c r="G29" s="17">
        <v>2574</v>
      </c>
      <c r="H29" s="177">
        <v>1041.5999999999999</v>
      </c>
      <c r="I29" s="17">
        <v>2604</v>
      </c>
      <c r="J29" s="17">
        <v>1321.6</v>
      </c>
      <c r="K29" s="17">
        <v>3304</v>
      </c>
      <c r="L29" s="17">
        <v>1321.6</v>
      </c>
      <c r="M29" s="17">
        <v>3304</v>
      </c>
      <c r="N29" s="17">
        <f>O29*0.4</f>
        <v>1321.6000000000001</v>
      </c>
      <c r="O29" s="17">
        <v>3304</v>
      </c>
      <c r="P29" s="17">
        <v>1321.6</v>
      </c>
      <c r="Q29" s="17">
        <v>3304</v>
      </c>
      <c r="R29" s="17">
        <v>1321.6</v>
      </c>
      <c r="S29" s="17">
        <v>3304</v>
      </c>
      <c r="T29" s="17">
        <v>1321.6</v>
      </c>
      <c r="U29" s="17">
        <v>3304</v>
      </c>
      <c r="V29" s="17">
        <v>1321.6</v>
      </c>
      <c r="W29" s="17">
        <v>3304</v>
      </c>
      <c r="X29" s="22">
        <f t="shared" si="0"/>
        <v>0</v>
      </c>
      <c r="Y29" s="22">
        <f t="shared" si="1"/>
        <v>0</v>
      </c>
      <c r="Z29" s="31">
        <f t="shared" si="2"/>
        <v>1041.5999999999999</v>
      </c>
      <c r="AA29" s="32">
        <f>Z29/0.4</f>
        <v>2603.9999999999995</v>
      </c>
      <c r="AB29" s="19">
        <f t="shared" si="3"/>
        <v>0.4</v>
      </c>
      <c r="AD29"/>
    </row>
    <row r="30" spans="1:30" ht="15.75">
      <c r="A30" s="19">
        <v>26</v>
      </c>
      <c r="B30" s="20" t="s">
        <v>69</v>
      </c>
      <c r="C30" s="21" t="s">
        <v>41</v>
      </c>
      <c r="D30" s="20">
        <v>0</v>
      </c>
      <c r="E30" s="20">
        <v>0</v>
      </c>
      <c r="F30" s="20">
        <v>0</v>
      </c>
      <c r="G30" s="17">
        <v>0</v>
      </c>
      <c r="H30" s="177">
        <v>0</v>
      </c>
      <c r="I30" s="17">
        <v>0</v>
      </c>
      <c r="J30" s="17">
        <v>0</v>
      </c>
      <c r="K30" s="17">
        <v>0</v>
      </c>
      <c r="L30" s="17"/>
      <c r="M30" s="17">
        <v>0</v>
      </c>
      <c r="N30" s="17"/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22">
        <f t="shared" si="0"/>
        <v>0</v>
      </c>
      <c r="Y30" s="22">
        <f t="shared" si="1"/>
        <v>0</v>
      </c>
      <c r="Z30" s="31">
        <f t="shared" si="2"/>
        <v>0</v>
      </c>
      <c r="AA30" s="32">
        <f t="shared" si="4"/>
        <v>0</v>
      </c>
      <c r="AB30" s="19" t="e">
        <f t="shared" si="3"/>
        <v>#DIV/0!</v>
      </c>
      <c r="AD30"/>
    </row>
    <row r="31" spans="1:30" ht="15.75">
      <c r="A31" s="19">
        <v>27</v>
      </c>
      <c r="B31" s="20" t="s">
        <v>69</v>
      </c>
      <c r="C31" s="21" t="s">
        <v>42</v>
      </c>
      <c r="D31" s="20">
        <f>E31*0.6</f>
        <v>3255</v>
      </c>
      <c r="E31" s="20">
        <v>5425</v>
      </c>
      <c r="F31" s="20">
        <f>G31*0.6</f>
        <v>3255</v>
      </c>
      <c r="G31" s="20">
        <v>5425</v>
      </c>
      <c r="H31" s="177">
        <v>3279</v>
      </c>
      <c r="I31" s="20">
        <v>5465</v>
      </c>
      <c r="J31" s="20">
        <v>3067.8</v>
      </c>
      <c r="K31" s="20">
        <v>5113</v>
      </c>
      <c r="L31" s="20">
        <v>3176.4</v>
      </c>
      <c r="M31" s="20">
        <v>5294</v>
      </c>
      <c r="N31" s="20">
        <f>O31*0.6</f>
        <v>3194.4</v>
      </c>
      <c r="O31" s="20">
        <v>5324</v>
      </c>
      <c r="P31" s="20">
        <v>3194.4</v>
      </c>
      <c r="Q31" s="20">
        <v>5324</v>
      </c>
      <c r="R31" s="20">
        <v>3221.4</v>
      </c>
      <c r="S31" s="20">
        <v>5369</v>
      </c>
      <c r="T31" s="20">
        <v>3221.4</v>
      </c>
      <c r="U31" s="20">
        <v>5369</v>
      </c>
      <c r="V31" s="20">
        <v>3278.4</v>
      </c>
      <c r="W31" s="20">
        <v>5464</v>
      </c>
      <c r="X31" s="22">
        <f t="shared" si="0"/>
        <v>-18</v>
      </c>
      <c r="Y31" s="22">
        <f t="shared" si="1"/>
        <v>-27</v>
      </c>
      <c r="Z31" s="31">
        <f t="shared" si="2"/>
        <v>3288</v>
      </c>
      <c r="AA31" s="32">
        <f>Z31/0.6</f>
        <v>5480</v>
      </c>
      <c r="AB31" s="19">
        <f t="shared" si="3"/>
        <v>0.6</v>
      </c>
      <c r="AD31"/>
    </row>
    <row r="32" spans="1:30" ht="15.75">
      <c r="A32" s="19">
        <v>31</v>
      </c>
      <c r="B32" s="20" t="s">
        <v>69</v>
      </c>
      <c r="C32" s="21" t="s">
        <v>43</v>
      </c>
      <c r="D32" s="27"/>
      <c r="E32" s="27">
        <v>742</v>
      </c>
      <c r="F32" s="20"/>
      <c r="G32" s="20"/>
      <c r="H32" s="20"/>
      <c r="I32" s="20">
        <v>742</v>
      </c>
      <c r="J32" s="20"/>
      <c r="K32" s="20">
        <v>742</v>
      </c>
      <c r="L32" s="20"/>
      <c r="M32" s="20">
        <v>742</v>
      </c>
      <c r="N32" s="20"/>
      <c r="O32" s="20">
        <v>819</v>
      </c>
      <c r="P32" s="20">
        <v>0</v>
      </c>
      <c r="Q32" s="20">
        <v>819</v>
      </c>
      <c r="R32" s="20">
        <v>0</v>
      </c>
      <c r="S32" s="20">
        <v>819</v>
      </c>
      <c r="T32" s="20">
        <v>0</v>
      </c>
      <c r="U32" s="20">
        <v>819</v>
      </c>
      <c r="V32" s="20"/>
      <c r="W32" s="20"/>
      <c r="X32" s="22">
        <f t="shared" si="0"/>
        <v>0</v>
      </c>
      <c r="Y32" s="22">
        <f t="shared" si="1"/>
        <v>0</v>
      </c>
      <c r="Z32" s="31">
        <f t="shared" si="2"/>
        <v>0</v>
      </c>
      <c r="AA32" s="32">
        <v>742</v>
      </c>
      <c r="AB32" s="19">
        <f t="shared" si="3"/>
        <v>0</v>
      </c>
      <c r="AD32"/>
    </row>
    <row r="33" spans="1:31">
      <c r="A33" s="175"/>
      <c r="B33" s="175"/>
      <c r="C33" s="175"/>
      <c r="D33" s="188">
        <f>SUM(D5:D32)</f>
        <v>684600.05999999994</v>
      </c>
      <c r="E33" s="188">
        <f>SUM(E5:E32)</f>
        <v>43148</v>
      </c>
      <c r="F33" s="176">
        <f>SUM(F5:F31)</f>
        <v>688261.05999999994</v>
      </c>
      <c r="G33" s="175"/>
      <c r="H33" s="175">
        <f t="shared" ref="H33:X33" si="5">SUM(H5:H32)</f>
        <v>636854.06000000006</v>
      </c>
      <c r="I33" s="175">
        <f t="shared" si="5"/>
        <v>40103.5</v>
      </c>
      <c r="J33" s="175">
        <f t="shared" si="5"/>
        <v>534541.75999999989</v>
      </c>
      <c r="K33" s="175">
        <f t="shared" si="5"/>
        <v>37112.699999999997</v>
      </c>
      <c r="L33" s="175">
        <f t="shared" si="5"/>
        <v>542997.85999999987</v>
      </c>
      <c r="M33" s="175">
        <f t="shared" si="5"/>
        <v>37496.699999999997</v>
      </c>
      <c r="N33" s="239">
        <f t="shared" ref="N33:R33" si="6">SUM(N5:N32)</f>
        <v>562564.8600000001</v>
      </c>
      <c r="O33" s="175">
        <f t="shared" si="6"/>
        <v>38216.699999999997</v>
      </c>
      <c r="P33" s="175">
        <f t="shared" si="6"/>
        <v>554408.86</v>
      </c>
      <c r="Q33" s="175">
        <f t="shared" si="6"/>
        <v>37793.199999999997</v>
      </c>
      <c r="R33" s="175">
        <f t="shared" si="6"/>
        <v>554595.86</v>
      </c>
      <c r="S33" s="175">
        <f>SUM(S5:S32)</f>
        <v>37592.699999999997</v>
      </c>
      <c r="T33" s="175">
        <f>SUM(T5:T32)</f>
        <v>554595.86</v>
      </c>
      <c r="U33" s="175">
        <f>SUM(U5:U32)</f>
        <v>37592.699999999997</v>
      </c>
      <c r="V33" s="175">
        <f>SUM(V5:V32)</f>
        <v>566039.06000000006</v>
      </c>
      <c r="W33" s="175">
        <f>SUM(W5:W32)</f>
        <v>35983.699999999997</v>
      </c>
      <c r="X33" s="193">
        <f t="shared" si="5"/>
        <v>-19567</v>
      </c>
      <c r="Y33" s="193"/>
      <c r="Z33" s="193"/>
      <c r="AA33" s="183"/>
      <c r="AB33" s="191"/>
      <c r="AD33"/>
    </row>
    <row r="34" spans="1:3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>
        <f>554457.96</f>
        <v>554457.96</v>
      </c>
      <c r="Q34" s="28"/>
      <c r="R34" s="28">
        <v>554457.96</v>
      </c>
      <c r="S34" s="28"/>
      <c r="T34" s="28"/>
      <c r="U34" s="28"/>
      <c r="V34" s="28"/>
      <c r="W34" s="28"/>
      <c r="X34" s="31"/>
      <c r="Y34" s="20"/>
      <c r="Z34" s="31"/>
      <c r="AA34" s="28"/>
      <c r="AB34" s="28"/>
      <c r="AC34" s="35">
        <f>SUM(AC5:AC33)</f>
        <v>0</v>
      </c>
      <c r="AD34"/>
    </row>
    <row r="35" spans="1:31">
      <c r="P35">
        <f>P33-P34</f>
        <v>-49.099999999976717</v>
      </c>
      <c r="R35">
        <f>R33-R34</f>
        <v>137.90000000002328</v>
      </c>
      <c r="Z35" s="36"/>
      <c r="AA35" s="58"/>
      <c r="AD35"/>
    </row>
    <row r="36" spans="1:31">
      <c r="Z36"/>
      <c r="AA36"/>
      <c r="AD36"/>
    </row>
    <row r="37" spans="1:31">
      <c r="Z37"/>
      <c r="AA37"/>
      <c r="AD37"/>
    </row>
    <row r="38" spans="1:31">
      <c r="Z38"/>
      <c r="AA38"/>
      <c r="AD38"/>
    </row>
    <row r="39" spans="1:31">
      <c r="Z39"/>
      <c r="AA39"/>
      <c r="AD39"/>
    </row>
    <row r="40" spans="1:31">
      <c r="Z40"/>
      <c r="AA40"/>
      <c r="AD40"/>
    </row>
    <row r="41" spans="1:31">
      <c r="Z41"/>
      <c r="AA41"/>
      <c r="AD41"/>
    </row>
    <row r="42" spans="1:31" s="35" customForma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/>
      <c r="AE42"/>
    </row>
    <row r="43" spans="1:31">
      <c r="Z43"/>
      <c r="AA43" s="58"/>
      <c r="AD43"/>
    </row>
    <row r="44" spans="1:31">
      <c r="Z44"/>
      <c r="AA44"/>
      <c r="AD44"/>
    </row>
    <row r="45" spans="1:31">
      <c r="Z45"/>
      <c r="AA45"/>
      <c r="AD45"/>
    </row>
    <row r="47" spans="1:31">
      <c r="Z47" s="47"/>
      <c r="AE47" s="43"/>
    </row>
    <row r="48" spans="1:31">
      <c r="Z48" s="47"/>
      <c r="AA48" s="47"/>
    </row>
    <row r="50" spans="26:27">
      <c r="Z50" s="47"/>
      <c r="AA50" s="47"/>
    </row>
  </sheetData>
  <mergeCells count="11">
    <mergeCell ref="D3:E3"/>
    <mergeCell ref="F3:G3"/>
    <mergeCell ref="A2:AB2"/>
    <mergeCell ref="H3:I3"/>
    <mergeCell ref="L3:M3"/>
    <mergeCell ref="J3:K3"/>
    <mergeCell ref="N3:O3"/>
    <mergeCell ref="P3:Q3"/>
    <mergeCell ref="R3:S3"/>
    <mergeCell ref="T3:U3"/>
    <mergeCell ref="V3:W3"/>
  </mergeCells>
  <pageMargins left="0.25" right="0.25" top="0.75" bottom="0.75" header="0.3" footer="0.3"/>
  <pageSetup paperSize="9" scale="78" orientation="landscape" r:id="rId1"/>
  <ignoredErrors>
    <ignoredError sqref="AA1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C47"/>
  <sheetViews>
    <sheetView zoomScale="85" zoomScaleNormal="85" zoomScaleSheetLayoutView="87" workbookViewId="0">
      <selection activeCell="R4" sqref="R4:R31"/>
    </sheetView>
  </sheetViews>
  <sheetFormatPr defaultColWidth="9" defaultRowHeight="15"/>
  <cols>
    <col min="1" max="1" width="4" customWidth="1"/>
    <col min="2" max="2" width="15.42578125" customWidth="1"/>
    <col min="3" max="3" width="26" bestFit="1" customWidth="1"/>
    <col min="4" max="4" width="13.42578125" hidden="1" customWidth="1"/>
    <col min="5" max="5" width="12.7109375" hidden="1" customWidth="1"/>
    <col min="6" max="6" width="13.42578125" hidden="1" customWidth="1"/>
    <col min="7" max="15" width="12.7109375" hidden="1" customWidth="1"/>
    <col min="16" max="19" width="12.7109375" customWidth="1"/>
    <col min="20" max="20" width="17" bestFit="1" customWidth="1"/>
    <col min="21" max="21" width="12.85546875" bestFit="1" customWidth="1"/>
    <col min="22" max="22" width="16.5703125" bestFit="1" customWidth="1"/>
    <col min="23" max="23" width="8.42578125" bestFit="1" customWidth="1"/>
    <col min="24" max="24" width="10.85546875" bestFit="1" customWidth="1"/>
    <col min="25" max="25" width="12.7109375" customWidth="1"/>
    <col min="26" max="26" width="16.28515625" style="35" customWidth="1"/>
  </cols>
  <sheetData>
    <row r="1" spans="1:29" ht="2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93"/>
      <c r="Z1"/>
    </row>
    <row r="2" spans="1:29" ht="4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171</v>
      </c>
      <c r="K2" s="290"/>
      <c r="L2" s="289" t="s">
        <v>171</v>
      </c>
      <c r="M2" s="290"/>
      <c r="N2" s="289" t="s">
        <v>240</v>
      </c>
      <c r="O2" s="290"/>
      <c r="P2" s="289" t="s">
        <v>243</v>
      </c>
      <c r="Q2" s="290"/>
      <c r="R2" s="289" t="s">
        <v>247</v>
      </c>
      <c r="S2" s="290"/>
      <c r="T2" s="162" t="s">
        <v>150</v>
      </c>
      <c r="U2" s="162" t="s">
        <v>150</v>
      </c>
      <c r="V2" s="108" t="s">
        <v>153</v>
      </c>
      <c r="W2" s="108"/>
      <c r="X2" s="114"/>
      <c r="Z2"/>
    </row>
    <row r="3" spans="1:29" ht="15.75">
      <c r="A3" s="17" t="s">
        <v>1</v>
      </c>
      <c r="B3" s="17" t="s">
        <v>2</v>
      </c>
      <c r="C3" s="17" t="s">
        <v>3</v>
      </c>
      <c r="D3" s="17" t="s">
        <v>4</v>
      </c>
      <c r="E3" s="17" t="s">
        <v>109</v>
      </c>
      <c r="F3" s="17" t="s">
        <v>4</v>
      </c>
      <c r="G3" s="17" t="s">
        <v>109</v>
      </c>
      <c r="H3" s="17" t="s">
        <v>4</v>
      </c>
      <c r="I3" s="17" t="s">
        <v>109</v>
      </c>
      <c r="J3" s="17" t="s">
        <v>4</v>
      </c>
      <c r="K3" s="17" t="s">
        <v>109</v>
      </c>
      <c r="L3" s="17" t="s">
        <v>4</v>
      </c>
      <c r="M3" s="17" t="s">
        <v>109</v>
      </c>
      <c r="N3" s="17" t="s">
        <v>4</v>
      </c>
      <c r="O3" s="17" t="s">
        <v>109</v>
      </c>
      <c r="P3" s="17" t="s">
        <v>4</v>
      </c>
      <c r="Q3" s="17" t="s">
        <v>109</v>
      </c>
      <c r="R3" s="17" t="s">
        <v>4</v>
      </c>
      <c r="S3" s="17" t="s">
        <v>109</v>
      </c>
      <c r="T3" s="18" t="s">
        <v>125</v>
      </c>
      <c r="U3" s="18" t="s">
        <v>148</v>
      </c>
      <c r="V3" s="17" t="s">
        <v>10</v>
      </c>
      <c r="W3" s="17" t="s">
        <v>11</v>
      </c>
      <c r="X3" s="70" t="s">
        <v>12</v>
      </c>
      <c r="Z3"/>
    </row>
    <row r="4" spans="1:29" ht="15.75">
      <c r="A4" s="19">
        <v>1</v>
      </c>
      <c r="B4" s="20" t="s">
        <v>68</v>
      </c>
      <c r="C4" s="21" t="s">
        <v>14</v>
      </c>
      <c r="D4" s="20">
        <v>205266.28</v>
      </c>
      <c r="E4" s="20">
        <v>0</v>
      </c>
      <c r="F4" s="20">
        <v>201900.28</v>
      </c>
      <c r="G4" s="20">
        <v>0</v>
      </c>
      <c r="H4" s="20">
        <v>186841.28</v>
      </c>
      <c r="I4" s="20"/>
      <c r="J4" s="20">
        <v>162795.57999999999</v>
      </c>
      <c r="K4" s="20"/>
      <c r="L4" s="20">
        <v>158985.57999999999</v>
      </c>
      <c r="M4" s="20">
        <v>0</v>
      </c>
      <c r="N4" s="20">
        <v>148747.57999999999</v>
      </c>
      <c r="O4" s="20"/>
      <c r="P4" s="20">
        <v>149247.57999999999</v>
      </c>
      <c r="Q4" s="20"/>
      <c r="R4" s="20">
        <v>143882.57999999999</v>
      </c>
      <c r="S4" s="20">
        <v>0</v>
      </c>
      <c r="T4" s="18">
        <v>0</v>
      </c>
      <c r="U4" s="22">
        <f>4813+3600+7300+1426</f>
        <v>17139</v>
      </c>
      <c r="V4" s="31">
        <f>(H4+T4)-U4</f>
        <v>169702.28</v>
      </c>
      <c r="W4" s="20"/>
      <c r="X4" s="19" t="e">
        <f>V4/W4</f>
        <v>#DIV/0!</v>
      </c>
      <c r="Z4"/>
    </row>
    <row r="5" spans="1:29" ht="16.5" customHeight="1">
      <c r="A5" s="19">
        <v>2</v>
      </c>
      <c r="B5" s="20" t="s">
        <v>68</v>
      </c>
      <c r="C5" s="21" t="s">
        <v>15</v>
      </c>
      <c r="D5" s="20">
        <v>73229</v>
      </c>
      <c r="E5" s="20">
        <v>3643</v>
      </c>
      <c r="F5" s="19">
        <v>72877.5</v>
      </c>
      <c r="G5" s="20">
        <v>3643</v>
      </c>
      <c r="H5" s="20">
        <v>47985.5</v>
      </c>
      <c r="I5" s="20">
        <v>3643</v>
      </c>
      <c r="J5" s="20">
        <v>49727</v>
      </c>
      <c r="K5" s="20">
        <v>3643</v>
      </c>
      <c r="L5" s="20">
        <v>42659</v>
      </c>
      <c r="M5" s="20">
        <v>3643</v>
      </c>
      <c r="N5" s="20">
        <v>42384</v>
      </c>
      <c r="O5" s="20">
        <v>3643</v>
      </c>
      <c r="P5" s="20">
        <v>42616</v>
      </c>
      <c r="Q5" s="20">
        <v>3643</v>
      </c>
      <c r="R5" s="20">
        <v>43815</v>
      </c>
      <c r="S5" s="20">
        <v>3643</v>
      </c>
      <c r="T5" s="18">
        <v>0</v>
      </c>
      <c r="U5" s="22">
        <v>0</v>
      </c>
      <c r="V5" s="31">
        <f t="shared" ref="V5:V31" si="0">(H5+T5)-U5</f>
        <v>47985.5</v>
      </c>
      <c r="W5" s="32">
        <f>V5/19</f>
        <v>2525.5526315789475</v>
      </c>
      <c r="X5" s="19">
        <f t="shared" ref="X5:X30" si="1">V5/W5</f>
        <v>19</v>
      </c>
      <c r="Z5"/>
    </row>
    <row r="6" spans="1:29" ht="15.75">
      <c r="A6" s="19">
        <v>3</v>
      </c>
      <c r="B6" s="20" t="s">
        <v>68</v>
      </c>
      <c r="C6" s="21" t="s">
        <v>16</v>
      </c>
      <c r="D6" s="20">
        <f>122067.8</f>
        <v>122067.8</v>
      </c>
      <c r="E6" s="20">
        <v>3173</v>
      </c>
      <c r="F6" s="19">
        <v>127177.8</v>
      </c>
      <c r="G6" s="20">
        <v>3173</v>
      </c>
      <c r="H6" s="20">
        <v>118408.8</v>
      </c>
      <c r="I6" s="20">
        <v>3075</v>
      </c>
      <c r="J6" s="20">
        <v>123762.3</v>
      </c>
      <c r="K6" s="20">
        <v>3218</v>
      </c>
      <c r="L6" s="20">
        <v>122115.8</v>
      </c>
      <c r="M6" s="20">
        <v>3174</v>
      </c>
      <c r="N6" s="20">
        <v>123188.8</v>
      </c>
      <c r="O6" s="20">
        <v>3204</v>
      </c>
      <c r="P6" s="20">
        <v>123225.8</v>
      </c>
      <c r="Q6" s="20">
        <v>3204</v>
      </c>
      <c r="R6" s="20">
        <v>119940.8</v>
      </c>
      <c r="S6" s="20">
        <v>3115</v>
      </c>
      <c r="T6" s="18">
        <v>0</v>
      </c>
      <c r="U6" s="22">
        <f>74</f>
        <v>74</v>
      </c>
      <c r="V6" s="31">
        <f t="shared" si="0"/>
        <v>118334.8</v>
      </c>
      <c r="W6" s="32">
        <f>V6/37</f>
        <v>3198.237837837838</v>
      </c>
      <c r="X6" s="19">
        <f t="shared" si="1"/>
        <v>37</v>
      </c>
      <c r="Z6"/>
    </row>
    <row r="7" spans="1:29" ht="16.5" customHeight="1">
      <c r="A7" s="19">
        <v>4</v>
      </c>
      <c r="B7" s="20" t="s">
        <v>68</v>
      </c>
      <c r="C7" s="21" t="s">
        <v>17</v>
      </c>
      <c r="D7" s="20">
        <v>7712.6</v>
      </c>
      <c r="E7" s="20">
        <v>457</v>
      </c>
      <c r="F7" s="19">
        <v>8239.6</v>
      </c>
      <c r="G7" s="20">
        <v>457</v>
      </c>
      <c r="H7" s="20">
        <v>5060.6000000000004</v>
      </c>
      <c r="I7" s="20">
        <v>301</v>
      </c>
      <c r="J7" s="20">
        <v>5494.1</v>
      </c>
      <c r="K7" s="20">
        <v>326</v>
      </c>
      <c r="L7" s="20">
        <v>6191.1</v>
      </c>
      <c r="M7" s="20">
        <v>367</v>
      </c>
      <c r="N7" s="20">
        <v>6191.1</v>
      </c>
      <c r="O7" s="20">
        <v>368</v>
      </c>
      <c r="P7" s="20">
        <v>6191.1</v>
      </c>
      <c r="Q7" s="20">
        <v>368</v>
      </c>
      <c r="R7" s="20">
        <v>5800.1</v>
      </c>
      <c r="S7" s="20">
        <v>344</v>
      </c>
      <c r="T7" s="18">
        <v>0</v>
      </c>
      <c r="U7" s="22">
        <v>0</v>
      </c>
      <c r="V7" s="31">
        <f t="shared" si="0"/>
        <v>5060.6000000000004</v>
      </c>
      <c r="W7" s="32">
        <f>V7/17</f>
        <v>297.68235294117648</v>
      </c>
      <c r="X7" s="19">
        <f t="shared" si="1"/>
        <v>17</v>
      </c>
      <c r="Z7"/>
    </row>
    <row r="8" spans="1:29" ht="15.75">
      <c r="A8" s="19">
        <v>5</v>
      </c>
      <c r="B8" s="20" t="s">
        <v>68</v>
      </c>
      <c r="C8" s="21" t="s">
        <v>18</v>
      </c>
      <c r="D8" s="20">
        <v>73896.5</v>
      </c>
      <c r="E8" s="20">
        <v>13260.5</v>
      </c>
      <c r="F8" s="19">
        <v>74176.5</v>
      </c>
      <c r="G8" s="20">
        <v>13260.5</v>
      </c>
      <c r="H8" s="20">
        <v>70741.5</v>
      </c>
      <c r="I8" s="20">
        <v>12629.5</v>
      </c>
      <c r="J8" s="20">
        <v>71791.5</v>
      </c>
      <c r="K8" s="20">
        <v>12840</v>
      </c>
      <c r="L8" s="20">
        <v>72041.5</v>
      </c>
      <c r="M8" s="20">
        <v>12889.5</v>
      </c>
      <c r="N8" s="20">
        <v>72891.5</v>
      </c>
      <c r="O8" s="20">
        <v>13060</v>
      </c>
      <c r="P8" s="20">
        <v>73041.5</v>
      </c>
      <c r="Q8" s="20">
        <v>13089.5</v>
      </c>
      <c r="R8" s="20">
        <v>71441.5</v>
      </c>
      <c r="S8" s="20">
        <v>12769.5</v>
      </c>
      <c r="T8" s="18"/>
      <c r="U8" s="22">
        <f>500+285</f>
        <v>785</v>
      </c>
      <c r="V8" s="31">
        <f t="shared" si="0"/>
        <v>69956.5</v>
      </c>
      <c r="W8" s="32">
        <f>V8/5</f>
        <v>13991.3</v>
      </c>
      <c r="X8" s="19">
        <f t="shared" si="1"/>
        <v>5</v>
      </c>
      <c r="Z8"/>
    </row>
    <row r="9" spans="1:29" ht="15.75">
      <c r="A9" s="19">
        <v>6</v>
      </c>
      <c r="B9" s="20" t="s">
        <v>68</v>
      </c>
      <c r="C9" s="21" t="s">
        <v>19</v>
      </c>
      <c r="D9" s="20">
        <v>6750.9</v>
      </c>
      <c r="E9" s="20">
        <v>11982.56</v>
      </c>
      <c r="F9" s="19">
        <v>6675.94</v>
      </c>
      <c r="G9" s="20">
        <v>11982.56</v>
      </c>
      <c r="H9" s="20">
        <v>6249.94</v>
      </c>
      <c r="I9" s="20">
        <v>11147.5</v>
      </c>
      <c r="J9" s="20">
        <v>6146.14</v>
      </c>
      <c r="K9" s="20">
        <v>10974</v>
      </c>
      <c r="L9" s="20">
        <v>6167.14</v>
      </c>
      <c r="M9" s="20">
        <v>11009</v>
      </c>
      <c r="N9" s="20">
        <v>6239.14</v>
      </c>
      <c r="O9" s="20">
        <v>11130</v>
      </c>
      <c r="P9" s="20">
        <v>6419.14</v>
      </c>
      <c r="Q9" s="20">
        <v>1151</v>
      </c>
      <c r="R9" s="20">
        <v>6137.14</v>
      </c>
      <c r="S9" s="20">
        <v>10959</v>
      </c>
      <c r="T9" s="18">
        <v>0</v>
      </c>
      <c r="U9" s="22">
        <v>240</v>
      </c>
      <c r="V9" s="31">
        <f t="shared" si="0"/>
        <v>6009.94</v>
      </c>
      <c r="W9" s="32">
        <f>V9/0.6</f>
        <v>10016.566666666666</v>
      </c>
      <c r="X9" s="19">
        <f t="shared" si="1"/>
        <v>0.6</v>
      </c>
      <c r="Z9"/>
    </row>
    <row r="10" spans="1:29" ht="15.75">
      <c r="A10" s="19">
        <v>7</v>
      </c>
      <c r="B10" s="20" t="s">
        <v>68</v>
      </c>
      <c r="C10" s="24" t="s">
        <v>20</v>
      </c>
      <c r="D10" s="20">
        <v>3260.9</v>
      </c>
      <c r="E10" s="20">
        <v>532</v>
      </c>
      <c r="F10" s="19">
        <v>4985.8999999999996</v>
      </c>
      <c r="G10" s="20">
        <v>532</v>
      </c>
      <c r="H10" s="20">
        <v>4185.8999999999996</v>
      </c>
      <c r="I10" s="20">
        <v>717.18</v>
      </c>
      <c r="J10" s="20">
        <v>5395.9</v>
      </c>
      <c r="K10" s="20">
        <v>959</v>
      </c>
      <c r="L10" s="20">
        <v>5880.9</v>
      </c>
      <c r="M10" s="20">
        <v>1056</v>
      </c>
      <c r="N10" s="20">
        <v>6230.9</v>
      </c>
      <c r="O10" s="20">
        <v>1126</v>
      </c>
      <c r="P10" s="20">
        <v>6355.9</v>
      </c>
      <c r="Q10" s="20">
        <v>974.74</v>
      </c>
      <c r="R10" s="20">
        <v>5180.8999999999996</v>
      </c>
      <c r="S10" s="20">
        <v>916</v>
      </c>
      <c r="T10" s="18"/>
      <c r="U10" s="22">
        <v>0</v>
      </c>
      <c r="V10" s="31">
        <f t="shared" si="0"/>
        <v>4185.8999999999996</v>
      </c>
      <c r="W10" s="32">
        <f>V10/5</f>
        <v>837.18</v>
      </c>
      <c r="X10" s="19">
        <f t="shared" si="1"/>
        <v>5</v>
      </c>
      <c r="Z10"/>
    </row>
    <row r="11" spans="1:29" ht="15.75">
      <c r="A11" s="19">
        <v>8</v>
      </c>
      <c r="B11" s="20" t="s">
        <v>68</v>
      </c>
      <c r="C11" s="24" t="s">
        <v>22</v>
      </c>
      <c r="D11" s="20">
        <v>26763.7</v>
      </c>
      <c r="E11" s="20">
        <v>4740</v>
      </c>
      <c r="F11" s="19">
        <v>24783.7</v>
      </c>
      <c r="G11" s="20">
        <v>4740</v>
      </c>
      <c r="H11" s="20">
        <v>21883.7</v>
      </c>
      <c r="I11" s="20">
        <v>3764.74</v>
      </c>
      <c r="J11" s="20">
        <v>8793.7000000000007</v>
      </c>
      <c r="K11" s="20">
        <v>1146</v>
      </c>
      <c r="L11" s="20">
        <v>5468.7</v>
      </c>
      <c r="M11" s="20">
        <v>481</v>
      </c>
      <c r="N11" s="20">
        <v>7468.7</v>
      </c>
      <c r="O11" s="20">
        <v>881</v>
      </c>
      <c r="P11" s="20">
        <v>7933.7</v>
      </c>
      <c r="Q11" s="20">
        <v>2410</v>
      </c>
      <c r="R11" s="20">
        <v>6503.7</v>
      </c>
      <c r="S11" s="20">
        <v>688</v>
      </c>
      <c r="T11" s="18">
        <v>0</v>
      </c>
      <c r="U11" s="22">
        <f>1000</f>
        <v>1000</v>
      </c>
      <c r="V11" s="31">
        <f t="shared" si="0"/>
        <v>20883.7</v>
      </c>
      <c r="W11" s="32">
        <f>V11/5</f>
        <v>4176.74</v>
      </c>
      <c r="X11" s="19">
        <f t="shared" si="1"/>
        <v>5</v>
      </c>
      <c r="Z11"/>
    </row>
    <row r="12" spans="1:29" ht="15.75">
      <c r="A12" s="19">
        <v>9</v>
      </c>
      <c r="B12" s="20" t="s">
        <v>68</v>
      </c>
      <c r="C12" s="24" t="s">
        <v>23</v>
      </c>
      <c r="D12" s="20">
        <v>3912.8</v>
      </c>
      <c r="E12" s="20">
        <v>5017</v>
      </c>
      <c r="F12" s="19">
        <v>3912</v>
      </c>
      <c r="G12" s="20">
        <v>5017</v>
      </c>
      <c r="H12" s="20">
        <v>3511.2</v>
      </c>
      <c r="I12" s="20">
        <v>4515</v>
      </c>
      <c r="J12" s="20">
        <v>1823.2</v>
      </c>
      <c r="K12" s="20">
        <v>2405</v>
      </c>
      <c r="L12" s="20">
        <v>1823.2</v>
      </c>
      <c r="M12" s="20">
        <v>2405</v>
      </c>
      <c r="N12" s="20">
        <v>1823.2</v>
      </c>
      <c r="O12" s="20">
        <v>2405</v>
      </c>
      <c r="P12" s="20">
        <v>1827.2</v>
      </c>
      <c r="Q12" s="20">
        <v>0</v>
      </c>
      <c r="R12" s="20">
        <v>1627.2</v>
      </c>
      <c r="S12" s="20">
        <v>2160</v>
      </c>
      <c r="T12" s="18">
        <v>0</v>
      </c>
      <c r="U12" s="22">
        <v>200</v>
      </c>
      <c r="V12" s="31">
        <f t="shared" si="0"/>
        <v>3311.2</v>
      </c>
      <c r="W12" s="32">
        <f>V12/0.8</f>
        <v>4138.9999999999991</v>
      </c>
      <c r="X12" s="19">
        <f t="shared" si="1"/>
        <v>0.80000000000000016</v>
      </c>
      <c r="Z12"/>
    </row>
    <row r="13" spans="1:29" ht="15.75">
      <c r="A13" s="19">
        <v>10</v>
      </c>
      <c r="B13" s="20" t="s">
        <v>68</v>
      </c>
      <c r="C13" s="24" t="s">
        <v>25</v>
      </c>
      <c r="D13" s="20">
        <v>7126.4</v>
      </c>
      <c r="E13" s="20">
        <v>0</v>
      </c>
      <c r="F13" s="19">
        <v>7126.4</v>
      </c>
      <c r="G13" s="20">
        <v>0</v>
      </c>
      <c r="H13" s="20">
        <v>7126.4</v>
      </c>
      <c r="I13" s="20">
        <v>0</v>
      </c>
      <c r="J13" s="20">
        <v>7026.4</v>
      </c>
      <c r="K13" s="20">
        <v>0</v>
      </c>
      <c r="L13" s="20">
        <v>7026.4</v>
      </c>
      <c r="M13" s="20">
        <v>0</v>
      </c>
      <c r="N13" s="20">
        <v>7026.4</v>
      </c>
      <c r="O13" s="20">
        <v>0</v>
      </c>
      <c r="P13" s="20">
        <v>7026.4</v>
      </c>
      <c r="Q13" s="20">
        <v>0</v>
      </c>
      <c r="R13" s="20">
        <v>6090.4</v>
      </c>
      <c r="S13" s="20">
        <v>0</v>
      </c>
      <c r="T13" s="18">
        <v>0</v>
      </c>
      <c r="U13" s="22">
        <v>0</v>
      </c>
      <c r="V13" s="31">
        <f t="shared" si="0"/>
        <v>7126.4</v>
      </c>
      <c r="W13" s="32">
        <v>0</v>
      </c>
      <c r="X13" s="19" t="e">
        <f t="shared" si="1"/>
        <v>#DIV/0!</v>
      </c>
      <c r="Z13"/>
      <c r="AC13" t="s">
        <v>21</v>
      </c>
    </row>
    <row r="14" spans="1:29" ht="16.5" customHeight="1">
      <c r="A14" s="19">
        <v>11</v>
      </c>
      <c r="B14" s="20" t="s">
        <v>68</v>
      </c>
      <c r="C14" s="24" t="s">
        <v>26</v>
      </c>
      <c r="D14" s="20">
        <v>17002</v>
      </c>
      <c r="E14" s="20">
        <v>0</v>
      </c>
      <c r="F14" s="19">
        <v>15810</v>
      </c>
      <c r="G14" s="20">
        <v>0</v>
      </c>
      <c r="H14" s="20">
        <v>12512</v>
      </c>
      <c r="I14" s="20">
        <v>0</v>
      </c>
      <c r="J14" s="20">
        <v>8533</v>
      </c>
      <c r="K14" s="20">
        <v>0</v>
      </c>
      <c r="L14" s="20">
        <v>7700</v>
      </c>
      <c r="M14" s="20">
        <v>0</v>
      </c>
      <c r="N14" s="20">
        <v>7400</v>
      </c>
      <c r="O14" s="20">
        <v>0</v>
      </c>
      <c r="P14" s="20">
        <v>7700</v>
      </c>
      <c r="Q14" s="20">
        <v>0</v>
      </c>
      <c r="R14" s="20">
        <v>6770</v>
      </c>
      <c r="S14" s="20">
        <v>0</v>
      </c>
      <c r="T14" s="18">
        <v>0</v>
      </c>
      <c r="U14" s="22">
        <f>642+660</f>
        <v>1302</v>
      </c>
      <c r="V14" s="31">
        <f t="shared" si="0"/>
        <v>11210</v>
      </c>
      <c r="W14" s="32">
        <v>0</v>
      </c>
      <c r="X14" s="19" t="e">
        <f t="shared" si="1"/>
        <v>#DIV/0!</v>
      </c>
      <c r="Z14" s="71"/>
    </row>
    <row r="15" spans="1:29" ht="15.75">
      <c r="A15" s="19">
        <v>12</v>
      </c>
      <c r="B15" s="20" t="s">
        <v>68</v>
      </c>
      <c r="C15" s="21" t="s">
        <v>27</v>
      </c>
      <c r="D15" s="20">
        <v>1263</v>
      </c>
      <c r="E15" s="20">
        <v>14</v>
      </c>
      <c r="F15" s="19">
        <v>1263</v>
      </c>
      <c r="G15" s="20">
        <v>14</v>
      </c>
      <c r="H15" s="20">
        <v>1263</v>
      </c>
      <c r="I15" s="20">
        <v>14.85</v>
      </c>
      <c r="J15" s="20">
        <v>1263</v>
      </c>
      <c r="K15" s="20">
        <v>14.85</v>
      </c>
      <c r="L15" s="20">
        <v>1263</v>
      </c>
      <c r="M15" s="20">
        <v>14.85</v>
      </c>
      <c r="N15" s="20">
        <v>1263</v>
      </c>
      <c r="O15" s="20">
        <v>14.85</v>
      </c>
      <c r="P15" s="20">
        <v>1263</v>
      </c>
      <c r="Q15" s="20">
        <v>14.85</v>
      </c>
      <c r="R15" s="20">
        <v>1263</v>
      </c>
      <c r="S15" s="20">
        <v>14.85</v>
      </c>
      <c r="T15" s="18">
        <v>0</v>
      </c>
      <c r="U15" s="22">
        <v>0</v>
      </c>
      <c r="V15" s="31">
        <f t="shared" si="0"/>
        <v>1263</v>
      </c>
      <c r="W15" s="32">
        <v>0</v>
      </c>
      <c r="X15" s="19" t="e">
        <f t="shared" si="1"/>
        <v>#DIV/0!</v>
      </c>
      <c r="Z15"/>
    </row>
    <row r="16" spans="1:29" ht="15.75">
      <c r="A16" s="19">
        <v>13</v>
      </c>
      <c r="B16" s="20" t="s">
        <v>68</v>
      </c>
      <c r="C16" s="25" t="s">
        <v>28</v>
      </c>
      <c r="D16" s="20">
        <v>130222</v>
      </c>
      <c r="E16" s="20">
        <v>0</v>
      </c>
      <c r="F16" s="19">
        <v>129651</v>
      </c>
      <c r="G16" s="20">
        <v>0</v>
      </c>
      <c r="H16" s="20">
        <v>118023</v>
      </c>
      <c r="I16" s="20">
        <v>0</v>
      </c>
      <c r="J16" s="20">
        <v>92032</v>
      </c>
      <c r="K16" s="20">
        <v>0</v>
      </c>
      <c r="L16" s="20">
        <v>90145</v>
      </c>
      <c r="M16" s="20">
        <v>0</v>
      </c>
      <c r="N16" s="20">
        <v>81737</v>
      </c>
      <c r="O16" s="20">
        <v>0</v>
      </c>
      <c r="P16" s="20">
        <v>81788</v>
      </c>
      <c r="Q16" s="20">
        <v>0</v>
      </c>
      <c r="R16" s="20">
        <v>78235</v>
      </c>
      <c r="S16" s="20">
        <v>0</v>
      </c>
      <c r="T16" s="18">
        <v>0</v>
      </c>
      <c r="U16" s="22">
        <v>1700</v>
      </c>
      <c r="V16" s="31">
        <f t="shared" si="0"/>
        <v>116323</v>
      </c>
      <c r="W16" s="32">
        <f>V16/17</f>
        <v>6842.5294117647063</v>
      </c>
      <c r="X16" s="19">
        <f t="shared" si="1"/>
        <v>17</v>
      </c>
      <c r="Z16"/>
    </row>
    <row r="17" spans="1:26" ht="15.75">
      <c r="A17" s="19">
        <v>14</v>
      </c>
      <c r="B17" s="20" t="s">
        <v>68</v>
      </c>
      <c r="C17" s="25" t="s">
        <v>29</v>
      </c>
      <c r="D17" s="20">
        <v>7993</v>
      </c>
      <c r="E17" s="20">
        <v>439</v>
      </c>
      <c r="F17" s="19">
        <v>7993</v>
      </c>
      <c r="G17" s="20">
        <v>439</v>
      </c>
      <c r="H17" s="20">
        <v>7993</v>
      </c>
      <c r="I17" s="20">
        <v>439</v>
      </c>
      <c r="J17" s="20">
        <v>7993</v>
      </c>
      <c r="K17" s="20">
        <v>439</v>
      </c>
      <c r="L17" s="20">
        <v>7993</v>
      </c>
      <c r="M17" s="20">
        <v>439</v>
      </c>
      <c r="N17" s="20">
        <v>7993</v>
      </c>
      <c r="O17" s="20">
        <v>439</v>
      </c>
      <c r="P17" s="20">
        <v>7993</v>
      </c>
      <c r="Q17" s="20">
        <v>439</v>
      </c>
      <c r="R17" s="20">
        <v>7993</v>
      </c>
      <c r="S17" s="20">
        <v>439</v>
      </c>
      <c r="T17" s="18"/>
      <c r="U17" s="22">
        <v>0</v>
      </c>
      <c r="V17" s="31">
        <f t="shared" si="0"/>
        <v>7993</v>
      </c>
      <c r="W17" s="32">
        <f>V17/17</f>
        <v>470.1764705882353</v>
      </c>
      <c r="X17" s="19">
        <f t="shared" si="1"/>
        <v>17</v>
      </c>
      <c r="Z17"/>
    </row>
    <row r="18" spans="1:26" ht="15.75">
      <c r="A18" s="19">
        <v>15</v>
      </c>
      <c r="B18" s="20" t="s">
        <v>68</v>
      </c>
      <c r="C18" s="25" t="s">
        <v>30</v>
      </c>
      <c r="D18" s="20">
        <v>78942</v>
      </c>
      <c r="E18" s="20">
        <v>0</v>
      </c>
      <c r="F18" s="19">
        <v>77862.75</v>
      </c>
      <c r="G18" s="20">
        <v>0</v>
      </c>
      <c r="H18" s="20">
        <v>65162.75</v>
      </c>
      <c r="I18" s="20">
        <v>0</v>
      </c>
      <c r="J18" s="20">
        <v>43644.75</v>
      </c>
      <c r="K18" s="20">
        <v>0</v>
      </c>
      <c r="L18" s="20">
        <v>41351.75</v>
      </c>
      <c r="M18" s="20">
        <v>0</v>
      </c>
      <c r="N18" s="20">
        <v>45391.75</v>
      </c>
      <c r="O18" s="20">
        <v>0</v>
      </c>
      <c r="P18" s="20">
        <v>46850.75</v>
      </c>
      <c r="Q18" s="20">
        <v>0</v>
      </c>
      <c r="R18" s="20">
        <v>36005.75</v>
      </c>
      <c r="S18" s="20">
        <v>0</v>
      </c>
      <c r="T18" s="18">
        <v>0</v>
      </c>
      <c r="U18" s="22">
        <v>0</v>
      </c>
      <c r="V18" s="31">
        <f t="shared" si="0"/>
        <v>65162.75</v>
      </c>
      <c r="W18" s="32">
        <v>0</v>
      </c>
      <c r="X18" s="19" t="e">
        <f t="shared" si="1"/>
        <v>#DIV/0!</v>
      </c>
      <c r="Z18"/>
    </row>
    <row r="19" spans="1:26" ht="15.75">
      <c r="A19" s="19">
        <v>16</v>
      </c>
      <c r="B19" s="20" t="s">
        <v>68</v>
      </c>
      <c r="C19" s="25" t="s">
        <v>31</v>
      </c>
      <c r="D19" s="20">
        <v>52527.79</v>
      </c>
      <c r="E19" s="20">
        <v>0</v>
      </c>
      <c r="F19" s="19">
        <v>45163.79</v>
      </c>
      <c r="G19" s="20">
        <v>0</v>
      </c>
      <c r="H19" s="20">
        <v>43563.79</v>
      </c>
      <c r="I19" s="20">
        <v>0</v>
      </c>
      <c r="J19" s="20">
        <v>41134.79</v>
      </c>
      <c r="K19" s="20">
        <v>0</v>
      </c>
      <c r="L19" s="20">
        <v>40299.79</v>
      </c>
      <c r="M19" s="20">
        <v>0</v>
      </c>
      <c r="N19" s="20">
        <v>38999.79</v>
      </c>
      <c r="O19" s="20">
        <v>0</v>
      </c>
      <c r="P19" s="20">
        <v>39399.79</v>
      </c>
      <c r="Q19" s="20">
        <v>0</v>
      </c>
      <c r="R19" s="20">
        <v>36546.79</v>
      </c>
      <c r="S19" s="20">
        <v>0</v>
      </c>
      <c r="T19" s="18">
        <v>0</v>
      </c>
      <c r="U19" s="22">
        <v>0</v>
      </c>
      <c r="V19" s="31">
        <f t="shared" si="0"/>
        <v>43563.79</v>
      </c>
      <c r="W19" s="32">
        <v>0</v>
      </c>
      <c r="X19" s="19" t="e">
        <f t="shared" si="1"/>
        <v>#DIV/0!</v>
      </c>
      <c r="Z19"/>
    </row>
    <row r="20" spans="1:26" ht="15.75">
      <c r="A20" s="19">
        <v>17</v>
      </c>
      <c r="B20" s="20" t="s">
        <v>68</v>
      </c>
      <c r="C20" s="25" t="s">
        <v>32</v>
      </c>
      <c r="D20" s="20">
        <v>13165.66</v>
      </c>
      <c r="E20" s="20">
        <v>0</v>
      </c>
      <c r="F20" s="19">
        <v>13165.66</v>
      </c>
      <c r="G20" s="20">
        <v>0</v>
      </c>
      <c r="H20" s="20">
        <v>13165.66</v>
      </c>
      <c r="I20" s="20">
        <v>0</v>
      </c>
      <c r="J20" s="20">
        <v>13165.66</v>
      </c>
      <c r="K20" s="20">
        <v>0</v>
      </c>
      <c r="L20" s="20">
        <v>13165.66</v>
      </c>
      <c r="M20" s="20">
        <v>0</v>
      </c>
      <c r="N20" s="20">
        <v>13165.66</v>
      </c>
      <c r="O20" s="20">
        <v>0</v>
      </c>
      <c r="P20" s="20">
        <v>13165.66</v>
      </c>
      <c r="Q20" s="20">
        <v>0</v>
      </c>
      <c r="R20" s="20">
        <v>13165.66</v>
      </c>
      <c r="S20" s="20">
        <v>0</v>
      </c>
      <c r="T20" s="18">
        <v>0</v>
      </c>
      <c r="U20" s="22">
        <v>0</v>
      </c>
      <c r="V20" s="31">
        <f t="shared" si="0"/>
        <v>13165.66</v>
      </c>
      <c r="W20" s="32">
        <v>0</v>
      </c>
      <c r="X20" s="19" t="e">
        <f t="shared" si="1"/>
        <v>#DIV/0!</v>
      </c>
      <c r="Z20"/>
    </row>
    <row r="21" spans="1:26" ht="15.75">
      <c r="A21" s="19">
        <v>18</v>
      </c>
      <c r="B21" s="20" t="s">
        <v>68</v>
      </c>
      <c r="C21" s="25" t="s">
        <v>33</v>
      </c>
      <c r="D21" s="20">
        <v>48364.85</v>
      </c>
      <c r="E21" s="20">
        <v>0</v>
      </c>
      <c r="F21" s="19">
        <v>47364.85</v>
      </c>
      <c r="G21" s="20">
        <v>0</v>
      </c>
      <c r="H21" s="20">
        <v>47014.85</v>
      </c>
      <c r="I21" s="20">
        <v>0</v>
      </c>
      <c r="J21" s="20">
        <v>38414.85</v>
      </c>
      <c r="K21" s="20">
        <v>0</v>
      </c>
      <c r="L21" s="20">
        <v>33540.85</v>
      </c>
      <c r="M21" s="20">
        <v>0</v>
      </c>
      <c r="N21" s="20">
        <v>32040.85</v>
      </c>
      <c r="O21" s="20">
        <v>0</v>
      </c>
      <c r="P21" s="20">
        <v>32240.85</v>
      </c>
      <c r="Q21" s="20">
        <v>0</v>
      </c>
      <c r="R21" s="20">
        <v>32340.85</v>
      </c>
      <c r="S21" s="20">
        <v>0</v>
      </c>
      <c r="T21" s="18"/>
      <c r="U21" s="22">
        <f>1450+1449</f>
        <v>2899</v>
      </c>
      <c r="V21" s="31">
        <f t="shared" si="0"/>
        <v>44115.85</v>
      </c>
      <c r="W21" s="32">
        <v>0</v>
      </c>
      <c r="X21" s="19" t="e">
        <f t="shared" si="1"/>
        <v>#DIV/0!</v>
      </c>
      <c r="Z21"/>
    </row>
    <row r="22" spans="1:26" ht="15.75">
      <c r="A22" s="19">
        <v>19</v>
      </c>
      <c r="B22" s="20" t="s">
        <v>68</v>
      </c>
      <c r="C22" s="25" t="s">
        <v>34</v>
      </c>
      <c r="D22" s="20">
        <v>2544.75</v>
      </c>
      <c r="E22" s="20">
        <v>0</v>
      </c>
      <c r="F22" s="19">
        <v>2544.75</v>
      </c>
      <c r="G22" s="20">
        <v>0</v>
      </c>
      <c r="H22" s="20">
        <v>2544.75</v>
      </c>
      <c r="I22" s="20">
        <v>0</v>
      </c>
      <c r="J22" s="20">
        <v>2544.75</v>
      </c>
      <c r="K22" s="20">
        <v>0</v>
      </c>
      <c r="L22" s="20">
        <v>2544.75</v>
      </c>
      <c r="M22" s="20">
        <v>0</v>
      </c>
      <c r="N22" s="20">
        <v>2544.75</v>
      </c>
      <c r="O22" s="20">
        <v>0</v>
      </c>
      <c r="P22" s="20">
        <v>2544.75</v>
      </c>
      <c r="Q22" s="20">
        <v>0</v>
      </c>
      <c r="R22" s="20">
        <v>2544.75</v>
      </c>
      <c r="S22" s="20">
        <v>0</v>
      </c>
      <c r="T22" s="18">
        <v>0</v>
      </c>
      <c r="U22" s="22">
        <v>0</v>
      </c>
      <c r="V22" s="31">
        <f t="shared" si="0"/>
        <v>2544.75</v>
      </c>
      <c r="W22" s="32">
        <v>0</v>
      </c>
      <c r="X22" s="19" t="e">
        <f t="shared" si="1"/>
        <v>#DIV/0!</v>
      </c>
      <c r="Z22"/>
    </row>
    <row r="23" spans="1:26" ht="15.75">
      <c r="A23" s="19">
        <v>20</v>
      </c>
      <c r="B23" s="20" t="s">
        <v>68</v>
      </c>
      <c r="C23" s="25" t="s">
        <v>35</v>
      </c>
      <c r="D23" s="20">
        <v>8013</v>
      </c>
      <c r="E23" s="20">
        <v>0</v>
      </c>
      <c r="F23" s="19">
        <v>8013</v>
      </c>
      <c r="G23" s="20">
        <v>0</v>
      </c>
      <c r="H23" s="20">
        <v>8013</v>
      </c>
      <c r="I23" s="20">
        <v>0</v>
      </c>
      <c r="J23" s="20">
        <v>9569</v>
      </c>
      <c r="K23" s="20">
        <v>0</v>
      </c>
      <c r="L23" s="20">
        <v>9569</v>
      </c>
      <c r="M23" s="20">
        <v>0</v>
      </c>
      <c r="N23" s="20">
        <v>9569</v>
      </c>
      <c r="O23" s="20">
        <v>0</v>
      </c>
      <c r="P23" s="20">
        <v>9569</v>
      </c>
      <c r="Q23" s="20">
        <v>0</v>
      </c>
      <c r="R23" s="20">
        <v>9569</v>
      </c>
      <c r="S23" s="20">
        <v>0</v>
      </c>
      <c r="T23" s="18">
        <v>0</v>
      </c>
      <c r="U23" s="22">
        <v>0</v>
      </c>
      <c r="V23" s="31">
        <f t="shared" si="0"/>
        <v>8013</v>
      </c>
      <c r="W23" s="32">
        <v>0</v>
      </c>
      <c r="X23" s="19" t="e">
        <f t="shared" si="1"/>
        <v>#DIV/0!</v>
      </c>
      <c r="Z23"/>
    </row>
    <row r="24" spans="1:26" ht="15.75">
      <c r="A24" s="19">
        <v>21</v>
      </c>
      <c r="B24" s="20" t="s">
        <v>68</v>
      </c>
      <c r="C24" s="25" t="s">
        <v>36</v>
      </c>
      <c r="D24" s="20">
        <v>0</v>
      </c>
      <c r="E24" s="20">
        <v>0</v>
      </c>
      <c r="F24" s="19">
        <v>0</v>
      </c>
      <c r="G24" s="20">
        <v>0</v>
      </c>
      <c r="H24" s="20">
        <v>0</v>
      </c>
      <c r="I24" s="20">
        <v>0</v>
      </c>
      <c r="J24" s="20"/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18">
        <v>0</v>
      </c>
      <c r="U24" s="22">
        <v>0</v>
      </c>
      <c r="V24" s="31">
        <f t="shared" si="0"/>
        <v>0</v>
      </c>
      <c r="W24" s="32">
        <v>0</v>
      </c>
      <c r="X24" s="19" t="e">
        <f t="shared" si="1"/>
        <v>#DIV/0!</v>
      </c>
      <c r="Z24"/>
    </row>
    <row r="25" spans="1:26" ht="15.75">
      <c r="A25" s="19">
        <v>22</v>
      </c>
      <c r="B25" s="20" t="s">
        <v>68</v>
      </c>
      <c r="C25" s="25" t="s">
        <v>37</v>
      </c>
      <c r="D25" s="20">
        <v>2928</v>
      </c>
      <c r="E25" s="20">
        <v>0</v>
      </c>
      <c r="F25" s="19">
        <v>2628</v>
      </c>
      <c r="G25" s="20">
        <v>0</v>
      </c>
      <c r="H25" s="20">
        <v>2628</v>
      </c>
      <c r="I25" s="20">
        <v>0</v>
      </c>
      <c r="J25" s="20">
        <v>2423</v>
      </c>
      <c r="K25" s="20">
        <v>0</v>
      </c>
      <c r="L25" s="20">
        <v>2423</v>
      </c>
      <c r="M25" s="20">
        <v>0</v>
      </c>
      <c r="N25" s="20">
        <v>2923</v>
      </c>
      <c r="O25" s="20">
        <v>0</v>
      </c>
      <c r="P25" s="20">
        <v>2923</v>
      </c>
      <c r="Q25" s="20">
        <v>0</v>
      </c>
      <c r="R25" s="20">
        <v>2923</v>
      </c>
      <c r="S25" s="20">
        <v>0</v>
      </c>
      <c r="T25" s="18"/>
      <c r="U25" s="22">
        <v>0</v>
      </c>
      <c r="V25" s="31">
        <f t="shared" si="0"/>
        <v>2628</v>
      </c>
      <c r="W25" s="32">
        <v>0</v>
      </c>
      <c r="X25" s="19" t="e">
        <f t="shared" si="1"/>
        <v>#DIV/0!</v>
      </c>
      <c r="Z25"/>
    </row>
    <row r="26" spans="1:26" ht="15.75">
      <c r="A26" s="19">
        <v>23</v>
      </c>
      <c r="B26" s="20" t="s">
        <v>68</v>
      </c>
      <c r="C26" s="21" t="s">
        <v>38</v>
      </c>
      <c r="D26" s="20">
        <f>E26*3</f>
        <v>2829</v>
      </c>
      <c r="E26" s="20">
        <v>943</v>
      </c>
      <c r="F26" s="19">
        <f>G26*3</f>
        <v>2829</v>
      </c>
      <c r="G26" s="20">
        <v>943</v>
      </c>
      <c r="H26" s="20">
        <v>2829</v>
      </c>
      <c r="I26" s="20">
        <v>943</v>
      </c>
      <c r="J26" s="20">
        <v>2829</v>
      </c>
      <c r="K26" s="20">
        <v>943</v>
      </c>
      <c r="L26" s="20">
        <v>2829</v>
      </c>
      <c r="M26" s="20">
        <v>943</v>
      </c>
      <c r="N26" s="20">
        <f>O26*3</f>
        <v>2829</v>
      </c>
      <c r="O26" s="20">
        <v>943</v>
      </c>
      <c r="P26" s="20">
        <v>2829</v>
      </c>
      <c r="Q26" s="20">
        <v>943</v>
      </c>
      <c r="R26" s="20">
        <v>2829</v>
      </c>
      <c r="S26" s="20">
        <v>943</v>
      </c>
      <c r="T26" s="18">
        <v>0</v>
      </c>
      <c r="U26" s="22">
        <v>0</v>
      </c>
      <c r="V26" s="31">
        <f t="shared" si="0"/>
        <v>2829</v>
      </c>
      <c r="W26" s="32">
        <f>V26/3</f>
        <v>943</v>
      </c>
      <c r="X26" s="19">
        <f t="shared" si="1"/>
        <v>3</v>
      </c>
      <c r="Z26"/>
    </row>
    <row r="27" spans="1:26" ht="15.75">
      <c r="A27" s="19">
        <v>24</v>
      </c>
      <c r="B27" s="20" t="s">
        <v>68</v>
      </c>
      <c r="C27" s="21" t="s">
        <v>39</v>
      </c>
      <c r="D27" s="20">
        <f>E27*1.4</f>
        <v>681.8</v>
      </c>
      <c r="E27" s="20">
        <v>487</v>
      </c>
      <c r="F27" s="19">
        <f>G27*1.4</f>
        <v>681.8</v>
      </c>
      <c r="G27" s="20">
        <v>487</v>
      </c>
      <c r="H27" s="20">
        <v>681.8</v>
      </c>
      <c r="I27" s="20">
        <v>487</v>
      </c>
      <c r="J27" s="20">
        <v>681.8</v>
      </c>
      <c r="K27" s="20">
        <v>487</v>
      </c>
      <c r="L27" s="20">
        <v>681.8</v>
      </c>
      <c r="M27" s="20">
        <v>487</v>
      </c>
      <c r="N27" s="20">
        <v>681.8</v>
      </c>
      <c r="O27" s="20">
        <v>487</v>
      </c>
      <c r="P27" s="20">
        <v>681.8</v>
      </c>
      <c r="Q27" s="20">
        <v>0</v>
      </c>
      <c r="R27" s="20">
        <v>681.8</v>
      </c>
      <c r="S27" s="20">
        <v>487</v>
      </c>
      <c r="T27" s="18">
        <v>0</v>
      </c>
      <c r="U27" s="22">
        <v>0</v>
      </c>
      <c r="V27" s="31">
        <f t="shared" si="0"/>
        <v>681.8</v>
      </c>
      <c r="W27" s="32">
        <f>V27/1.4</f>
        <v>487</v>
      </c>
      <c r="X27" s="19">
        <f t="shared" si="1"/>
        <v>1.4</v>
      </c>
      <c r="Z27"/>
    </row>
    <row r="28" spans="1:26" ht="15.75">
      <c r="A28" s="19">
        <v>2225.1999999999998</v>
      </c>
      <c r="B28" s="20" t="s">
        <v>68</v>
      </c>
      <c r="C28" s="21" t="s">
        <v>40</v>
      </c>
      <c r="D28" s="20">
        <f>E28*0.4</f>
        <v>2225.2000000000003</v>
      </c>
      <c r="E28" s="20">
        <v>5563</v>
      </c>
      <c r="F28" s="19">
        <f>G28*0.4</f>
        <v>2225.2000000000003</v>
      </c>
      <c r="G28" s="20">
        <v>5563</v>
      </c>
      <c r="H28" s="20">
        <v>2225.1999999999998</v>
      </c>
      <c r="I28" s="20">
        <v>5563</v>
      </c>
      <c r="J28" s="20">
        <v>2225.1999999999998</v>
      </c>
      <c r="K28" s="20">
        <v>5563</v>
      </c>
      <c r="L28" s="20">
        <v>2225.1999999999998</v>
      </c>
      <c r="M28" s="20">
        <v>5563</v>
      </c>
      <c r="N28" s="20">
        <v>2225.1999999999998</v>
      </c>
      <c r="O28" s="20">
        <v>5563</v>
      </c>
      <c r="P28" s="20">
        <v>2225.1999999999998</v>
      </c>
      <c r="Q28" s="20">
        <v>0</v>
      </c>
      <c r="R28" s="20">
        <v>2225.1999999999998</v>
      </c>
      <c r="S28" s="20">
        <v>5563</v>
      </c>
      <c r="T28" s="18" t="s">
        <v>239</v>
      </c>
      <c r="U28" s="22">
        <v>0</v>
      </c>
      <c r="V28" s="31" t="e">
        <f t="shared" si="0"/>
        <v>#VALUE!</v>
      </c>
      <c r="W28" s="32" t="e">
        <f>V28/0.4</f>
        <v>#VALUE!</v>
      </c>
      <c r="X28" s="19" t="e">
        <f t="shared" si="1"/>
        <v>#VALUE!</v>
      </c>
      <c r="Z28"/>
    </row>
    <row r="29" spans="1:26" ht="15.75">
      <c r="A29" s="19">
        <v>26</v>
      </c>
      <c r="B29" s="20" t="s">
        <v>68</v>
      </c>
      <c r="C29" s="21" t="s">
        <v>41</v>
      </c>
      <c r="D29" s="20">
        <v>0</v>
      </c>
      <c r="E29" s="20">
        <v>2050</v>
      </c>
      <c r="F29" s="19">
        <v>0</v>
      </c>
      <c r="G29" s="20">
        <v>2050</v>
      </c>
      <c r="H29" s="20">
        <v>0</v>
      </c>
      <c r="I29" s="20">
        <v>2050</v>
      </c>
      <c r="J29" s="20"/>
      <c r="K29" s="20">
        <v>2050</v>
      </c>
      <c r="L29" s="20">
        <v>0</v>
      </c>
      <c r="M29" s="20">
        <v>2050</v>
      </c>
      <c r="N29" s="20">
        <v>0</v>
      </c>
      <c r="O29" s="20">
        <v>2050</v>
      </c>
      <c r="P29" s="20">
        <v>0</v>
      </c>
      <c r="Q29" s="20">
        <v>2050</v>
      </c>
      <c r="R29" s="20">
        <v>0</v>
      </c>
      <c r="S29" s="20">
        <v>2050</v>
      </c>
      <c r="T29" s="18"/>
      <c r="U29" s="22">
        <v>0</v>
      </c>
      <c r="V29" s="31">
        <f t="shared" si="0"/>
        <v>0</v>
      </c>
      <c r="W29" s="32">
        <v>2050</v>
      </c>
      <c r="X29" s="19">
        <f t="shared" si="1"/>
        <v>0</v>
      </c>
      <c r="Z29"/>
    </row>
    <row r="30" spans="1:26" ht="15.75">
      <c r="A30" s="19">
        <v>27</v>
      </c>
      <c r="B30" s="20" t="s">
        <v>68</v>
      </c>
      <c r="C30" s="21" t="s">
        <v>42</v>
      </c>
      <c r="D30" s="20">
        <f>E30*0.6</f>
        <v>4994.3999999999996</v>
      </c>
      <c r="E30" s="20">
        <v>8324</v>
      </c>
      <c r="F30" s="19">
        <f>G30*0.6</f>
        <v>4778.3999999999996</v>
      </c>
      <c r="G30" s="20">
        <v>7964</v>
      </c>
      <c r="H30" s="20">
        <v>4598.3999999999996</v>
      </c>
      <c r="I30" s="20">
        <v>7664</v>
      </c>
      <c r="J30" s="20">
        <v>4603.2</v>
      </c>
      <c r="K30" s="20">
        <v>7672</v>
      </c>
      <c r="L30" s="20">
        <v>4183.2</v>
      </c>
      <c r="M30" s="20">
        <v>6972</v>
      </c>
      <c r="N30" s="20">
        <v>4183.2</v>
      </c>
      <c r="O30" s="20">
        <v>6972</v>
      </c>
      <c r="P30" s="20">
        <v>4336.2</v>
      </c>
      <c r="Q30" s="20">
        <v>7227</v>
      </c>
      <c r="R30" s="20">
        <v>4336.2</v>
      </c>
      <c r="S30" s="20">
        <v>7227</v>
      </c>
      <c r="T30" s="18">
        <v>0</v>
      </c>
      <c r="U30" s="22">
        <v>0</v>
      </c>
      <c r="V30" s="31">
        <f t="shared" si="0"/>
        <v>4598.3999999999996</v>
      </c>
      <c r="W30" s="32">
        <f>V30/0.6</f>
        <v>7664</v>
      </c>
      <c r="X30" s="19">
        <f t="shared" si="1"/>
        <v>0.6</v>
      </c>
      <c r="Z30"/>
    </row>
    <row r="31" spans="1:26" ht="15.75">
      <c r="A31" s="19">
        <v>31</v>
      </c>
      <c r="B31" s="20" t="s">
        <v>68</v>
      </c>
      <c r="C31" s="21" t="s">
        <v>43</v>
      </c>
      <c r="D31" s="20"/>
      <c r="E31" s="20"/>
      <c r="F31" s="19"/>
      <c r="G31" s="20"/>
      <c r="H31" s="20"/>
      <c r="I31" s="20"/>
      <c r="J31" s="20"/>
      <c r="K31" s="20">
        <v>34</v>
      </c>
      <c r="L31" s="20">
        <v>0</v>
      </c>
      <c r="M31" s="20">
        <v>34</v>
      </c>
      <c r="N31" s="20">
        <v>0</v>
      </c>
      <c r="O31" s="20">
        <v>34</v>
      </c>
      <c r="P31" s="20">
        <v>0</v>
      </c>
      <c r="Q31" s="20">
        <v>34</v>
      </c>
      <c r="R31" s="20">
        <v>0</v>
      </c>
      <c r="S31" s="20">
        <v>34</v>
      </c>
      <c r="T31" s="31">
        <v>0</v>
      </c>
      <c r="U31" s="31"/>
      <c r="V31" s="31">
        <f t="shared" si="0"/>
        <v>0</v>
      </c>
      <c r="W31" s="32">
        <f t="shared" ref="W31" si="2">V31/19</f>
        <v>0</v>
      </c>
      <c r="X31" s="28"/>
      <c r="Z31"/>
    </row>
    <row r="32" spans="1:26">
      <c r="A32" s="20"/>
      <c r="B32" s="20"/>
      <c r="C32" s="20"/>
      <c r="D32" s="20">
        <f>SUM(D4:D31)</f>
        <v>903683.33000000007</v>
      </c>
      <c r="E32" s="20">
        <f>SUM(E4:E25)</f>
        <v>43258.06</v>
      </c>
      <c r="F32" s="19">
        <f>SUM(F4:F31)</f>
        <v>893829.82000000007</v>
      </c>
      <c r="G32" s="20"/>
      <c r="H32" s="20">
        <f>SUM(H4:H31)</f>
        <v>804213.02000000014</v>
      </c>
      <c r="I32" s="20"/>
      <c r="J32" s="99">
        <f>SUM(J4:J31)</f>
        <v>713812.82000000007</v>
      </c>
      <c r="K32" s="20">
        <f>SUM(K4:K31)</f>
        <v>52713.85</v>
      </c>
      <c r="L32" s="20">
        <f>SUM(L4:L31)</f>
        <v>688274.32000000007</v>
      </c>
      <c r="M32" s="20">
        <f>SUM(M4:M31)</f>
        <v>51527.35</v>
      </c>
      <c r="N32" s="20">
        <f>SUM(N4:N31)</f>
        <v>675138.32000000007</v>
      </c>
      <c r="O32" s="20">
        <f>SUM(O5:O31)</f>
        <v>52319.85</v>
      </c>
      <c r="P32" s="20">
        <f>SUM(P4:P31)</f>
        <v>679394.32000000007</v>
      </c>
      <c r="Q32" s="20">
        <f>SUM(Q4:Q31)</f>
        <v>35548.089999999997</v>
      </c>
      <c r="R32" s="20">
        <f>SUM(R4:R31)</f>
        <v>647848.32000000007</v>
      </c>
      <c r="S32" s="20"/>
      <c r="T32" s="31">
        <v>0</v>
      </c>
      <c r="U32" s="31">
        <f>SUM(U4:U31)</f>
        <v>25339</v>
      </c>
      <c r="V32" s="31" t="e">
        <f>SUM(V4:V31)</f>
        <v>#VALUE!</v>
      </c>
      <c r="W32" s="32"/>
      <c r="X32" s="28"/>
      <c r="Z32"/>
    </row>
    <row r="33" spans="1:26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19"/>
      <c r="U33" s="20"/>
      <c r="V33" s="20"/>
      <c r="W33" s="28"/>
      <c r="X33" s="28"/>
      <c r="Z33"/>
    </row>
    <row r="34" spans="1:26">
      <c r="V34" s="36"/>
      <c r="Y34" s="35"/>
      <c r="Z34"/>
    </row>
    <row r="35" spans="1:26">
      <c r="Z35"/>
    </row>
    <row r="36" spans="1:26">
      <c r="Z36"/>
    </row>
    <row r="37" spans="1:26">
      <c r="Z37"/>
    </row>
    <row r="38" spans="1:26">
      <c r="Z38"/>
    </row>
    <row r="39" spans="1:26">
      <c r="Z39"/>
    </row>
    <row r="40" spans="1:26">
      <c r="Z40"/>
    </row>
    <row r="41" spans="1:26">
      <c r="Z41"/>
    </row>
    <row r="42" spans="1:26">
      <c r="V42" s="43"/>
      <c r="W42" s="43"/>
      <c r="X42" s="43"/>
      <c r="Y42" s="43"/>
    </row>
    <row r="43" spans="1:26"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V43" s="43"/>
      <c r="W43" s="43"/>
      <c r="X43" s="43"/>
      <c r="Y43" s="43"/>
    </row>
    <row r="44" spans="1:26">
      <c r="V44" s="43"/>
      <c r="W44" s="43"/>
      <c r="X44" s="43"/>
      <c r="Y44" s="43"/>
    </row>
    <row r="47" spans="1:26">
      <c r="V47" s="43"/>
      <c r="W47" s="43"/>
      <c r="X47" s="43"/>
      <c r="Y47" s="43"/>
    </row>
  </sheetData>
  <mergeCells count="9">
    <mergeCell ref="A1:X1"/>
    <mergeCell ref="D2:E2"/>
    <mergeCell ref="F2:G2"/>
    <mergeCell ref="H2:I2"/>
    <mergeCell ref="J2:K2"/>
    <mergeCell ref="L2:M2"/>
    <mergeCell ref="N2:O2"/>
    <mergeCell ref="P2:Q2"/>
    <mergeCell ref="R2:S2"/>
  </mergeCells>
  <pageMargins left="0.25" right="0.25" top="0.75" bottom="0.75" header="0.3" footer="0.3"/>
  <pageSetup paperSize="9" scale="82" fitToHeight="0" orientation="landscape" r:id="rId1"/>
  <colBreaks count="1" manualBreakCount="1">
    <brk id="24" max="39" man="1"/>
  </colBreaks>
  <ignoredErrors>
    <ignoredError sqref="W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R51"/>
  <sheetViews>
    <sheetView topLeftCell="C1" zoomScale="80" zoomScaleNormal="80" zoomScaleSheetLayoutView="90" workbookViewId="0">
      <selection activeCell="M36" sqref="M36"/>
    </sheetView>
  </sheetViews>
  <sheetFormatPr defaultColWidth="9" defaultRowHeight="15"/>
  <cols>
    <col min="2" max="2" width="14.140625" bestFit="1" customWidth="1"/>
    <col min="3" max="3" width="31.140625" bestFit="1" customWidth="1"/>
    <col min="4" max="9" width="13.7109375" bestFit="1" customWidth="1"/>
    <col min="10" max="11" width="13.7109375" customWidth="1"/>
    <col min="12" max="12" width="12" bestFit="1" customWidth="1"/>
    <col min="13" max="13" width="13.5703125" bestFit="1" customWidth="1"/>
    <col min="14" max="14" width="16.7109375" bestFit="1" customWidth="1"/>
    <col min="16" max="16" width="10.28515625" bestFit="1" customWidth="1"/>
    <col min="18" max="18" width="3.28515625" customWidth="1"/>
    <col min="19" max="19" width="14.140625" customWidth="1"/>
    <col min="20" max="20" width="25.85546875" customWidth="1"/>
    <col min="21" max="21" width="14.7109375" customWidth="1"/>
    <col min="22" max="22" width="11.85546875" customWidth="1"/>
    <col min="23" max="23" width="12.7109375" customWidth="1"/>
    <col min="24" max="24" width="14.7109375" style="45" customWidth="1"/>
    <col min="25" max="25" width="14.42578125" customWidth="1"/>
    <col min="26" max="26" width="10.28515625" customWidth="1"/>
    <col min="27" max="27" width="12.28515625" customWidth="1"/>
    <col min="28" max="28" width="8.85546875" customWidth="1"/>
    <col min="29" max="29" width="13.28515625" customWidth="1"/>
    <col min="30" max="30" width="4.42578125" bestFit="1" customWidth="1"/>
    <col min="31" max="31" width="9" bestFit="1" customWidth="1"/>
    <col min="32" max="32" width="5" customWidth="1"/>
    <col min="33" max="33" width="14" customWidth="1"/>
    <col min="34" max="34" width="26" customWidth="1"/>
    <col min="35" max="35" width="12.42578125" customWidth="1"/>
    <col min="36" max="36" width="11.85546875" customWidth="1"/>
    <col min="37" max="37" width="12.7109375" customWidth="1"/>
    <col min="38" max="38" width="17.28515625" customWidth="1"/>
    <col min="39" max="39" width="15.7109375" customWidth="1"/>
    <col min="40" max="40" width="10.28515625" customWidth="1"/>
    <col min="41" max="41" width="12.28515625" customWidth="1"/>
    <col min="44" max="44" width="6.28515625" hidden="1" customWidth="1"/>
  </cols>
  <sheetData>
    <row r="1" spans="1:44" ht="22.5" customHeight="1">
      <c r="A1" s="288" t="s">
        <v>147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R1" s="288" t="s">
        <v>0</v>
      </c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</row>
    <row r="2" spans="1:44" ht="57.75" customHeight="1">
      <c r="A2" s="108"/>
      <c r="B2" s="108"/>
      <c r="C2" s="108"/>
      <c r="D2" s="289" t="s">
        <v>123</v>
      </c>
      <c r="E2" s="290"/>
      <c r="F2" s="289" t="s">
        <v>124</v>
      </c>
      <c r="G2" s="290"/>
      <c r="H2" s="289" t="s">
        <v>145</v>
      </c>
      <c r="I2" s="290"/>
      <c r="J2" s="289" t="s">
        <v>161</v>
      </c>
      <c r="K2" s="290"/>
      <c r="L2" s="162" t="s">
        <v>150</v>
      </c>
      <c r="M2" s="162" t="s">
        <v>150</v>
      </c>
      <c r="N2" s="108" t="s">
        <v>153</v>
      </c>
      <c r="O2" s="108"/>
      <c r="P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</row>
    <row r="3" spans="1:44" ht="24.75" customHeight="1">
      <c r="A3" s="17" t="s">
        <v>1</v>
      </c>
      <c r="B3" s="17" t="s">
        <v>2</v>
      </c>
      <c r="C3" s="17" t="s">
        <v>3</v>
      </c>
      <c r="D3" s="17" t="s">
        <v>4</v>
      </c>
      <c r="E3" s="17" t="s">
        <v>149</v>
      </c>
      <c r="F3" s="17" t="s">
        <v>4</v>
      </c>
      <c r="G3" s="17" t="s">
        <v>149</v>
      </c>
      <c r="H3" s="17" t="s">
        <v>4</v>
      </c>
      <c r="I3" s="17" t="s">
        <v>149</v>
      </c>
      <c r="J3" s="17" t="s">
        <v>4</v>
      </c>
      <c r="K3" s="17" t="s">
        <v>149</v>
      </c>
      <c r="L3" s="18" t="s">
        <v>125</v>
      </c>
      <c r="M3" s="18" t="s">
        <v>8</v>
      </c>
      <c r="N3" s="17" t="s">
        <v>10</v>
      </c>
      <c r="O3" s="17" t="s">
        <v>11</v>
      </c>
      <c r="P3" s="20" t="s">
        <v>12</v>
      </c>
      <c r="R3" s="17" t="s">
        <v>1</v>
      </c>
      <c r="S3" s="17" t="s">
        <v>2</v>
      </c>
      <c r="T3" s="17" t="s">
        <v>3</v>
      </c>
      <c r="U3" s="17" t="s">
        <v>4</v>
      </c>
      <c r="V3" s="17" t="s">
        <v>5</v>
      </c>
      <c r="W3" s="17" t="s">
        <v>6</v>
      </c>
      <c r="X3" s="17" t="s">
        <v>7</v>
      </c>
      <c r="Y3" s="18" t="s">
        <v>8</v>
      </c>
      <c r="Z3" s="17" t="s">
        <v>9</v>
      </c>
      <c r="AA3" s="17" t="s">
        <v>10</v>
      </c>
      <c r="AB3" s="17" t="s">
        <v>11</v>
      </c>
      <c r="AC3" s="20" t="s">
        <v>12</v>
      </c>
      <c r="AF3" s="50" t="s">
        <v>1</v>
      </c>
      <c r="AG3" s="20" t="s">
        <v>2</v>
      </c>
      <c r="AH3" s="20" t="s">
        <v>3</v>
      </c>
      <c r="AI3" s="20" t="s">
        <v>4</v>
      </c>
      <c r="AJ3" s="20" t="s">
        <v>5</v>
      </c>
      <c r="AK3" s="20" t="s">
        <v>7</v>
      </c>
      <c r="AL3" s="20" t="s">
        <v>56</v>
      </c>
      <c r="AM3" s="22" t="s">
        <v>57</v>
      </c>
      <c r="AN3" s="22" t="s">
        <v>9</v>
      </c>
      <c r="AO3" s="20" t="s">
        <v>10</v>
      </c>
      <c r="AP3" s="20" t="s">
        <v>58</v>
      </c>
      <c r="AQ3" s="20" t="s">
        <v>59</v>
      </c>
      <c r="AR3" s="20" t="s">
        <v>60</v>
      </c>
    </row>
    <row r="4" spans="1:44" ht="15.75">
      <c r="A4" s="19">
        <v>1</v>
      </c>
      <c r="B4" s="20" t="s">
        <v>61</v>
      </c>
      <c r="C4" s="21" t="s">
        <v>14</v>
      </c>
      <c r="D4" s="99">
        <v>4808</v>
      </c>
      <c r="E4" s="99"/>
      <c r="F4" s="99">
        <v>4808</v>
      </c>
      <c r="G4" s="99"/>
      <c r="H4" s="99">
        <v>4808</v>
      </c>
      <c r="I4" s="99"/>
      <c r="J4" s="99">
        <v>4808</v>
      </c>
      <c r="K4" s="99"/>
      <c r="L4" s="18"/>
      <c r="M4" s="22"/>
      <c r="N4" s="31">
        <f>(H4+L4)-M4</f>
        <v>4808</v>
      </c>
      <c r="O4" s="20"/>
      <c r="P4" s="19" t="e">
        <f>N4/O4</f>
        <v>#DIV/0!</v>
      </c>
      <c r="R4" s="19">
        <v>1</v>
      </c>
      <c r="S4" s="20" t="s">
        <v>61</v>
      </c>
      <c r="T4" s="21" t="s">
        <v>14</v>
      </c>
      <c r="U4" s="20"/>
      <c r="V4" s="20"/>
      <c r="W4" s="20"/>
      <c r="X4" s="20"/>
      <c r="Y4" s="22"/>
      <c r="Z4" s="20"/>
      <c r="AA4" s="31">
        <f>U4+V4+W4-Y4</f>
        <v>0</v>
      </c>
      <c r="AB4" s="20"/>
      <c r="AC4" s="28"/>
      <c r="AF4" s="51">
        <v>1</v>
      </c>
      <c r="AG4" s="20" t="s">
        <v>61</v>
      </c>
      <c r="AH4" s="21" t="s">
        <v>14</v>
      </c>
      <c r="AI4" s="20">
        <v>3192</v>
      </c>
      <c r="AJ4" s="20"/>
      <c r="AK4" s="20"/>
      <c r="AL4" s="20"/>
      <c r="AM4" s="22"/>
      <c r="AN4" s="22"/>
      <c r="AO4" s="41">
        <f>AI4+AJ4+AL4-AM4</f>
        <v>3192</v>
      </c>
      <c r="AP4" s="41">
        <f>AO4-7388.67</f>
        <v>-4196.67</v>
      </c>
      <c r="AQ4" s="20"/>
      <c r="AR4" s="20"/>
    </row>
    <row r="5" spans="1:44" ht="15.75">
      <c r="A5" s="19">
        <v>2</v>
      </c>
      <c r="B5" s="20" t="s">
        <v>61</v>
      </c>
      <c r="C5" s="21" t="s">
        <v>15</v>
      </c>
      <c r="D5" s="20">
        <v>0</v>
      </c>
      <c r="E5" s="20"/>
      <c r="F5" s="20">
        <v>0</v>
      </c>
      <c r="G5" s="20"/>
      <c r="H5" s="20">
        <v>0</v>
      </c>
      <c r="I5" s="20"/>
      <c r="J5" s="20">
        <v>0</v>
      </c>
      <c r="K5" s="20"/>
      <c r="L5" s="18"/>
      <c r="M5" s="22"/>
      <c r="N5" s="31">
        <f t="shared" ref="N5:N31" si="0">(H5+L5)-M5</f>
        <v>0</v>
      </c>
      <c r="O5" s="32">
        <f>N5/19</f>
        <v>0</v>
      </c>
      <c r="P5" s="19" t="e">
        <f t="shared" ref="P5:P32" si="1">N5/O5</f>
        <v>#DIV/0!</v>
      </c>
      <c r="R5" s="19">
        <v>2</v>
      </c>
      <c r="S5" s="20" t="s">
        <v>61</v>
      </c>
      <c r="T5" s="21" t="s">
        <v>15</v>
      </c>
      <c r="U5" s="20"/>
      <c r="V5" s="19"/>
      <c r="W5" s="19"/>
      <c r="X5" s="19"/>
      <c r="Y5" s="23"/>
      <c r="Z5" s="19"/>
      <c r="AA5" s="31">
        <f t="shared" ref="AA5:AA31" si="2">U5+V5+W5-Y5</f>
        <v>0</v>
      </c>
      <c r="AB5" s="32">
        <f>AA5/19</f>
        <v>0</v>
      </c>
      <c r="AC5" s="20" t="e">
        <f t="shared" ref="AC5:AC12" si="3">AA5/AB5</f>
        <v>#DIV/0!</v>
      </c>
      <c r="AF5" s="51">
        <v>2</v>
      </c>
      <c r="AG5" s="20" t="s">
        <v>61</v>
      </c>
      <c r="AH5" s="21" t="s">
        <v>15</v>
      </c>
      <c r="AI5" s="19">
        <v>0</v>
      </c>
      <c r="AJ5" s="19"/>
      <c r="AK5" s="19"/>
      <c r="AL5" s="19"/>
      <c r="AM5" s="23"/>
      <c r="AN5" s="23"/>
      <c r="AO5" s="41">
        <f>AI5+AJ5+AL5-AM5</f>
        <v>0</v>
      </c>
      <c r="AP5" s="41">
        <f>AO5-1026</f>
        <v>-1026</v>
      </c>
      <c r="AQ5" s="32">
        <f>AO5/19</f>
        <v>0</v>
      </c>
      <c r="AR5" s="54">
        <v>0</v>
      </c>
    </row>
    <row r="6" spans="1:44" ht="15.75">
      <c r="A6" s="19">
        <v>3</v>
      </c>
      <c r="B6" s="20" t="s">
        <v>61</v>
      </c>
      <c r="C6" s="21" t="s">
        <v>16</v>
      </c>
      <c r="D6" s="20">
        <v>444</v>
      </c>
      <c r="E6" s="20">
        <v>12</v>
      </c>
      <c r="F6" s="20">
        <v>444</v>
      </c>
      <c r="G6" s="20">
        <v>12</v>
      </c>
      <c r="H6" s="20">
        <v>444</v>
      </c>
      <c r="I6" s="20">
        <v>12</v>
      </c>
      <c r="J6" s="20">
        <v>444</v>
      </c>
      <c r="K6" s="20">
        <v>12</v>
      </c>
      <c r="L6" s="18"/>
      <c r="M6" s="22"/>
      <c r="N6" s="31">
        <f t="shared" si="0"/>
        <v>444</v>
      </c>
      <c r="O6" s="32">
        <f>N6/37</f>
        <v>12</v>
      </c>
      <c r="P6" s="19">
        <f t="shared" si="1"/>
        <v>37</v>
      </c>
      <c r="R6" s="19">
        <v>3</v>
      </c>
      <c r="S6" s="20" t="s">
        <v>61</v>
      </c>
      <c r="T6" s="21" t="s">
        <v>16</v>
      </c>
      <c r="U6" s="20"/>
      <c r="V6" s="19"/>
      <c r="W6" s="19"/>
      <c r="X6" s="19"/>
      <c r="Y6" s="23"/>
      <c r="Z6" s="19"/>
      <c r="AA6" s="20">
        <f t="shared" si="2"/>
        <v>0</v>
      </c>
      <c r="AB6" s="32">
        <f>AA6/37</f>
        <v>0</v>
      </c>
      <c r="AC6" s="20" t="e">
        <f t="shared" si="3"/>
        <v>#DIV/0!</v>
      </c>
      <c r="AF6" s="51">
        <v>3</v>
      </c>
      <c r="AG6" s="20" t="s">
        <v>61</v>
      </c>
      <c r="AH6" s="21" t="s">
        <v>16</v>
      </c>
      <c r="AI6" s="19">
        <v>3885</v>
      </c>
      <c r="AJ6" s="19"/>
      <c r="AK6" s="19"/>
      <c r="AL6" s="19"/>
      <c r="AM6" s="23"/>
      <c r="AN6" s="23"/>
      <c r="AO6" s="41">
        <f>AI6+AJ6+AL6-AM6</f>
        <v>3885</v>
      </c>
      <c r="AP6" s="41">
        <f>AO6-6755</f>
        <v>-2870</v>
      </c>
      <c r="AQ6" s="32">
        <f>AO6/35</f>
        <v>111</v>
      </c>
      <c r="AR6" s="54">
        <f t="shared" ref="AR6:AR8" si="4">AO6/AQ6</f>
        <v>35</v>
      </c>
    </row>
    <row r="7" spans="1:44" ht="15.75">
      <c r="A7" s="19">
        <v>4</v>
      </c>
      <c r="B7" s="20" t="s">
        <v>61</v>
      </c>
      <c r="C7" s="21" t="s">
        <v>17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18"/>
      <c r="M7" s="22"/>
      <c r="N7" s="31">
        <f t="shared" si="0"/>
        <v>0</v>
      </c>
      <c r="O7" s="32">
        <f>N7/17</f>
        <v>0</v>
      </c>
      <c r="P7" s="19" t="e">
        <f t="shared" si="1"/>
        <v>#DIV/0!</v>
      </c>
      <c r="R7" s="19">
        <v>4</v>
      </c>
      <c r="S7" s="20" t="s">
        <v>61</v>
      </c>
      <c r="T7" s="21" t="s">
        <v>17</v>
      </c>
      <c r="U7" s="20"/>
      <c r="V7" s="19"/>
      <c r="W7" s="19"/>
      <c r="X7" s="19"/>
      <c r="Y7" s="23"/>
      <c r="Z7" s="19"/>
      <c r="AA7" s="31">
        <f t="shared" si="2"/>
        <v>0</v>
      </c>
      <c r="AB7" s="32">
        <f>AA7/17</f>
        <v>0</v>
      </c>
      <c r="AC7" s="20" t="e">
        <f t="shared" si="3"/>
        <v>#DIV/0!</v>
      </c>
      <c r="AF7" s="51">
        <v>4</v>
      </c>
      <c r="AG7" s="20" t="s">
        <v>61</v>
      </c>
      <c r="AH7" s="21" t="s">
        <v>17</v>
      </c>
      <c r="AI7" s="19">
        <v>331.5</v>
      </c>
      <c r="AJ7" s="19"/>
      <c r="AK7" s="19"/>
      <c r="AL7" s="19"/>
      <c r="AM7" s="23"/>
      <c r="AN7" s="23"/>
      <c r="AO7" s="41">
        <f t="shared" ref="AO7:AO13" si="5">AI7+AJ7+AL7-AM7</f>
        <v>331.5</v>
      </c>
      <c r="AP7" s="41">
        <f>AO7-331.5</f>
        <v>0</v>
      </c>
      <c r="AQ7" s="32">
        <f>AO7/17</f>
        <v>19.5</v>
      </c>
      <c r="AR7" s="54">
        <f t="shared" si="4"/>
        <v>17</v>
      </c>
    </row>
    <row r="8" spans="1:44" ht="15.75">
      <c r="A8" s="19">
        <v>5</v>
      </c>
      <c r="B8" s="20" t="s">
        <v>61</v>
      </c>
      <c r="C8" s="21" t="s">
        <v>18</v>
      </c>
      <c r="D8" s="99">
        <v>-65</v>
      </c>
      <c r="E8" s="99">
        <v>-13</v>
      </c>
      <c r="F8" s="99">
        <v>-65</v>
      </c>
      <c r="G8" s="99">
        <v>-13</v>
      </c>
      <c r="H8" s="99">
        <v>-65</v>
      </c>
      <c r="I8" s="99">
        <v>-13</v>
      </c>
      <c r="J8" s="99">
        <v>-65</v>
      </c>
      <c r="K8" s="99">
        <v>-13</v>
      </c>
      <c r="L8" s="18"/>
      <c r="M8" s="22"/>
      <c r="N8" s="31">
        <f t="shared" si="0"/>
        <v>-65</v>
      </c>
      <c r="O8" s="32">
        <f>N8/5</f>
        <v>-13</v>
      </c>
      <c r="P8" s="19">
        <f t="shared" si="1"/>
        <v>5</v>
      </c>
      <c r="R8" s="19">
        <v>5</v>
      </c>
      <c r="S8" s="20" t="s">
        <v>61</v>
      </c>
      <c r="T8" s="21" t="s">
        <v>18</v>
      </c>
      <c r="U8" s="20"/>
      <c r="V8" s="19"/>
      <c r="W8" s="19"/>
      <c r="X8" s="19"/>
      <c r="Y8" s="23"/>
      <c r="Z8" s="19"/>
      <c r="AA8" s="31">
        <f t="shared" si="2"/>
        <v>0</v>
      </c>
      <c r="AB8" s="32">
        <f>AA8/5</f>
        <v>0</v>
      </c>
      <c r="AC8" s="20" t="e">
        <f t="shared" si="3"/>
        <v>#DIV/0!</v>
      </c>
      <c r="AF8" s="51">
        <v>5</v>
      </c>
      <c r="AG8" s="20" t="s">
        <v>61</v>
      </c>
      <c r="AH8" s="21" t="s">
        <v>18</v>
      </c>
      <c r="AI8" s="19">
        <v>1725</v>
      </c>
      <c r="AJ8" s="19"/>
      <c r="AK8" s="19"/>
      <c r="AL8" s="19"/>
      <c r="AM8" s="23"/>
      <c r="AN8" s="23"/>
      <c r="AO8" s="41">
        <f t="shared" si="5"/>
        <v>1725</v>
      </c>
      <c r="AP8" s="41">
        <f>AO8-841.6</f>
        <v>883.4</v>
      </c>
      <c r="AQ8" s="32">
        <f>AO8/2.8</f>
        <v>616.07142857142856</v>
      </c>
      <c r="AR8" s="54">
        <f t="shared" si="4"/>
        <v>2.8000000000000003</v>
      </c>
    </row>
    <row r="9" spans="1:44" ht="15.75">
      <c r="A9" s="19">
        <v>6</v>
      </c>
      <c r="B9" s="20" t="s">
        <v>61</v>
      </c>
      <c r="C9" s="21" t="s">
        <v>19</v>
      </c>
      <c r="D9" s="20">
        <v>64.2</v>
      </c>
      <c r="E9" s="20">
        <v>107</v>
      </c>
      <c r="F9" s="20">
        <v>64.2</v>
      </c>
      <c r="G9" s="20">
        <v>107</v>
      </c>
      <c r="H9" s="20">
        <v>64.2</v>
      </c>
      <c r="I9" s="20">
        <v>107</v>
      </c>
      <c r="J9" s="20">
        <v>64.2</v>
      </c>
      <c r="K9" s="20">
        <v>107</v>
      </c>
      <c r="L9" s="18"/>
      <c r="M9" s="22"/>
      <c r="N9" s="31">
        <f t="shared" si="0"/>
        <v>64.2</v>
      </c>
      <c r="O9" s="32">
        <f>N9/0.6</f>
        <v>107.00000000000001</v>
      </c>
      <c r="P9" s="19">
        <f t="shared" si="1"/>
        <v>0.6</v>
      </c>
      <c r="R9" s="19">
        <v>6</v>
      </c>
      <c r="S9" s="20" t="s">
        <v>61</v>
      </c>
      <c r="T9" s="21" t="s">
        <v>19</v>
      </c>
      <c r="U9" s="20"/>
      <c r="V9" s="19"/>
      <c r="W9" s="19"/>
      <c r="X9" s="19"/>
      <c r="Y9" s="23"/>
      <c r="Z9" s="19"/>
      <c r="AA9" s="31">
        <f t="shared" si="2"/>
        <v>0</v>
      </c>
      <c r="AB9" s="32">
        <f>AA9/0.6</f>
        <v>0</v>
      </c>
      <c r="AC9" s="20" t="e">
        <f t="shared" si="3"/>
        <v>#DIV/0!</v>
      </c>
      <c r="AF9" s="51">
        <v>6</v>
      </c>
      <c r="AG9" s="20" t="s">
        <v>61</v>
      </c>
      <c r="AH9" s="21" t="s">
        <v>19</v>
      </c>
      <c r="AI9" s="19">
        <v>596.4</v>
      </c>
      <c r="AJ9" s="19"/>
      <c r="AK9" s="19"/>
      <c r="AL9" s="19"/>
      <c r="AM9" s="23"/>
      <c r="AN9" s="23"/>
      <c r="AO9" s="41">
        <f t="shared" si="5"/>
        <v>596.4</v>
      </c>
      <c r="AP9" s="41">
        <f>AO9-992.2</f>
        <v>-395.80000000000007</v>
      </c>
      <c r="AQ9" s="32">
        <f>AO9/0.8</f>
        <v>745.49999999999989</v>
      </c>
      <c r="AR9" s="54">
        <f t="shared" ref="AR9:AR12" si="6">AO9/AQ9</f>
        <v>0.8</v>
      </c>
    </row>
    <row r="10" spans="1:44" ht="15.75">
      <c r="A10" s="19">
        <v>7</v>
      </c>
      <c r="B10" s="20" t="s">
        <v>61</v>
      </c>
      <c r="C10" s="24" t="s">
        <v>20</v>
      </c>
      <c r="D10" s="20">
        <v>25</v>
      </c>
      <c r="E10" s="20">
        <v>5</v>
      </c>
      <c r="F10" s="20">
        <v>25</v>
      </c>
      <c r="G10" s="20">
        <v>5</v>
      </c>
      <c r="H10" s="20">
        <v>25</v>
      </c>
      <c r="I10" s="20">
        <v>5</v>
      </c>
      <c r="J10" s="20">
        <v>25</v>
      </c>
      <c r="K10" s="20">
        <v>5</v>
      </c>
      <c r="L10" s="18"/>
      <c r="M10" s="22"/>
      <c r="N10" s="31">
        <f t="shared" si="0"/>
        <v>25</v>
      </c>
      <c r="O10" s="32">
        <f>N10/5</f>
        <v>5</v>
      </c>
      <c r="P10" s="19">
        <f t="shared" si="1"/>
        <v>5</v>
      </c>
      <c r="R10" s="19">
        <v>7</v>
      </c>
      <c r="S10" s="20" t="s">
        <v>61</v>
      </c>
      <c r="T10" s="24" t="s">
        <v>20</v>
      </c>
      <c r="U10" s="20"/>
      <c r="V10" s="19"/>
      <c r="W10" s="19"/>
      <c r="X10" s="19"/>
      <c r="Y10" s="23"/>
      <c r="Z10" s="19"/>
      <c r="AA10" s="20">
        <f t="shared" si="2"/>
        <v>0</v>
      </c>
      <c r="AB10" s="32">
        <f>AA10/5</f>
        <v>0</v>
      </c>
      <c r="AC10" s="20" t="e">
        <f t="shared" si="3"/>
        <v>#DIV/0!</v>
      </c>
      <c r="AF10" s="51">
        <v>7</v>
      </c>
      <c r="AG10" s="20" t="s">
        <v>61</v>
      </c>
      <c r="AH10" s="24" t="s">
        <v>20</v>
      </c>
      <c r="AI10" s="19">
        <v>189</v>
      </c>
      <c r="AJ10" s="19"/>
      <c r="AK10" s="19"/>
      <c r="AL10" s="19"/>
      <c r="AM10" s="23"/>
      <c r="AN10" s="23"/>
      <c r="AO10" s="41">
        <f t="shared" si="5"/>
        <v>189</v>
      </c>
      <c r="AP10" s="41">
        <f>AO10-234</f>
        <v>-45</v>
      </c>
      <c r="AQ10" s="32">
        <f>AO10/4.5</f>
        <v>42</v>
      </c>
      <c r="AR10" s="54">
        <f t="shared" si="6"/>
        <v>4.5</v>
      </c>
    </row>
    <row r="11" spans="1:44" ht="15.75">
      <c r="A11" s="19">
        <v>8</v>
      </c>
      <c r="B11" s="20" t="s">
        <v>61</v>
      </c>
      <c r="C11" s="24" t="s">
        <v>22</v>
      </c>
      <c r="D11" s="20">
        <v>-125.6</v>
      </c>
      <c r="E11" s="20">
        <v>246</v>
      </c>
      <c r="F11" s="20">
        <v>-125.6</v>
      </c>
      <c r="G11" s="20">
        <v>246</v>
      </c>
      <c r="H11" s="20">
        <v>-125.6</v>
      </c>
      <c r="I11" s="20">
        <v>246</v>
      </c>
      <c r="J11" s="20">
        <v>-125.6</v>
      </c>
      <c r="K11" s="20">
        <v>246</v>
      </c>
      <c r="L11" s="18"/>
      <c r="M11" s="22"/>
      <c r="N11" s="31">
        <f t="shared" si="0"/>
        <v>-125.6</v>
      </c>
      <c r="O11" s="32">
        <f>N11/5</f>
        <v>-25.119999999999997</v>
      </c>
      <c r="P11" s="19">
        <f t="shared" si="1"/>
        <v>5</v>
      </c>
      <c r="R11" s="19">
        <v>8</v>
      </c>
      <c r="S11" s="20" t="s">
        <v>61</v>
      </c>
      <c r="T11" s="24" t="s">
        <v>22</v>
      </c>
      <c r="U11" s="20"/>
      <c r="V11" s="19"/>
      <c r="W11" s="19"/>
      <c r="X11" s="19"/>
      <c r="Y11" s="23"/>
      <c r="Z11" s="19"/>
      <c r="AA11" s="31">
        <f t="shared" si="2"/>
        <v>0</v>
      </c>
      <c r="AB11" s="32">
        <f>AA11/5</f>
        <v>0</v>
      </c>
      <c r="AC11" s="20" t="e">
        <f t="shared" si="3"/>
        <v>#DIV/0!</v>
      </c>
      <c r="AF11" s="51">
        <v>8</v>
      </c>
      <c r="AG11" s="20" t="s">
        <v>61</v>
      </c>
      <c r="AH11" s="24" t="s">
        <v>22</v>
      </c>
      <c r="AI11" s="19">
        <v>1436.2</v>
      </c>
      <c r="AJ11" s="19"/>
      <c r="AK11" s="19"/>
      <c r="AL11" s="19"/>
      <c r="AM11" s="23"/>
      <c r="AN11" s="23"/>
      <c r="AO11" s="41">
        <f t="shared" si="5"/>
        <v>1436.2</v>
      </c>
      <c r="AP11" s="41">
        <f>AO11-2502.6</f>
        <v>-1066.3999999999999</v>
      </c>
      <c r="AQ11" s="32">
        <f>AO11/4.3</f>
        <v>334</v>
      </c>
      <c r="AR11" s="54">
        <f t="shared" si="6"/>
        <v>4.3</v>
      </c>
    </row>
    <row r="12" spans="1:44" ht="15.75">
      <c r="A12" s="19">
        <v>9</v>
      </c>
      <c r="B12" s="20" t="s">
        <v>61</v>
      </c>
      <c r="C12" s="24" t="s">
        <v>23</v>
      </c>
      <c r="D12" s="20">
        <v>-125.6</v>
      </c>
      <c r="E12" s="20">
        <v>143</v>
      </c>
      <c r="F12" s="20">
        <v>-125.6</v>
      </c>
      <c r="G12" s="20">
        <v>143</v>
      </c>
      <c r="H12" s="20">
        <v>-125.6</v>
      </c>
      <c r="I12" s="20">
        <v>143</v>
      </c>
      <c r="J12" s="20">
        <v>-125.6</v>
      </c>
      <c r="K12" s="20">
        <v>143</v>
      </c>
      <c r="L12" s="18"/>
      <c r="M12" s="22"/>
      <c r="N12" s="31">
        <f t="shared" si="0"/>
        <v>-125.6</v>
      </c>
      <c r="O12" s="32">
        <f>N12/0.8</f>
        <v>-156.99999999999997</v>
      </c>
      <c r="P12" s="19">
        <f t="shared" si="1"/>
        <v>0.80000000000000016</v>
      </c>
      <c r="R12" s="19">
        <v>9</v>
      </c>
      <c r="S12" s="20" t="s">
        <v>61</v>
      </c>
      <c r="T12" s="24" t="s">
        <v>23</v>
      </c>
      <c r="U12" s="20"/>
      <c r="V12" s="19"/>
      <c r="W12" s="19"/>
      <c r="X12" s="19"/>
      <c r="Y12" s="23"/>
      <c r="Z12" s="33"/>
      <c r="AA12" s="31">
        <f t="shared" si="2"/>
        <v>0</v>
      </c>
      <c r="AB12" s="32">
        <f>AA12/0.8</f>
        <v>0</v>
      </c>
      <c r="AC12" s="20" t="e">
        <f t="shared" si="3"/>
        <v>#DIV/0!</v>
      </c>
      <c r="AF12" s="51">
        <v>9</v>
      </c>
      <c r="AG12" s="20" t="s">
        <v>61</v>
      </c>
      <c r="AH12" s="24" t="s">
        <v>23</v>
      </c>
      <c r="AI12" s="19">
        <v>114.3</v>
      </c>
      <c r="AJ12" s="19"/>
      <c r="AK12" s="19"/>
      <c r="AL12" s="19"/>
      <c r="AM12" s="23"/>
      <c r="AN12" s="23"/>
      <c r="AO12" s="41">
        <f t="shared" si="5"/>
        <v>114.3</v>
      </c>
      <c r="AP12" s="41">
        <f>AO12-620</f>
        <v>-505.7</v>
      </c>
      <c r="AQ12" s="32">
        <f>AO12/0.9</f>
        <v>127</v>
      </c>
      <c r="AR12" s="54">
        <f t="shared" si="6"/>
        <v>0.9</v>
      </c>
    </row>
    <row r="13" spans="1:44" ht="15.75">
      <c r="A13" s="19">
        <v>10</v>
      </c>
      <c r="B13" s="20" t="s">
        <v>61</v>
      </c>
      <c r="C13" s="24" t="s">
        <v>25</v>
      </c>
      <c r="D13" s="20">
        <v>160</v>
      </c>
      <c r="E13" s="20">
        <v>0</v>
      </c>
      <c r="F13" s="20">
        <v>160</v>
      </c>
      <c r="G13" s="20">
        <v>0</v>
      </c>
      <c r="H13" s="20">
        <v>160</v>
      </c>
      <c r="I13" s="20">
        <v>0</v>
      </c>
      <c r="J13" s="20">
        <v>160</v>
      </c>
      <c r="K13" s="20">
        <v>0</v>
      </c>
      <c r="L13" s="18"/>
      <c r="M13" s="22"/>
      <c r="N13" s="31">
        <f t="shared" si="0"/>
        <v>160</v>
      </c>
      <c r="O13" s="32">
        <v>0</v>
      </c>
      <c r="P13" s="19" t="e">
        <f t="shared" si="1"/>
        <v>#DIV/0!</v>
      </c>
      <c r="R13" s="19">
        <v>10</v>
      </c>
      <c r="S13" s="20" t="s">
        <v>61</v>
      </c>
      <c r="T13" s="24" t="s">
        <v>25</v>
      </c>
      <c r="U13" s="20"/>
      <c r="V13" s="19"/>
      <c r="W13" s="19"/>
      <c r="X13" s="19"/>
      <c r="Y13" s="23"/>
      <c r="Z13" s="19"/>
      <c r="AA13" s="68">
        <f t="shared" si="2"/>
        <v>0</v>
      </c>
      <c r="AB13" s="32">
        <v>0</v>
      </c>
      <c r="AC13" s="20">
        <v>0</v>
      </c>
      <c r="AF13" s="51">
        <v>10</v>
      </c>
      <c r="AG13" s="20" t="s">
        <v>61</v>
      </c>
      <c r="AH13" s="24" t="s">
        <v>25</v>
      </c>
      <c r="AI13" s="19">
        <v>535</v>
      </c>
      <c r="AJ13" s="19"/>
      <c r="AK13" s="19"/>
      <c r="AL13" s="19"/>
      <c r="AM13" s="23"/>
      <c r="AN13" s="23"/>
      <c r="AO13" s="41">
        <f t="shared" si="5"/>
        <v>535</v>
      </c>
      <c r="AP13" s="41">
        <f>AO13-529</f>
        <v>6</v>
      </c>
      <c r="AQ13" s="32">
        <f>AO13/0.75</f>
        <v>713.33333333333337</v>
      </c>
      <c r="AR13" s="54">
        <v>0</v>
      </c>
    </row>
    <row r="14" spans="1:44" ht="15.75">
      <c r="A14" s="19">
        <v>11</v>
      </c>
      <c r="B14" s="20" t="s">
        <v>61</v>
      </c>
      <c r="C14" s="24" t="s">
        <v>26</v>
      </c>
      <c r="D14" s="20">
        <v>1463</v>
      </c>
      <c r="E14" s="20">
        <v>0</v>
      </c>
      <c r="F14" s="20">
        <v>1463</v>
      </c>
      <c r="G14" s="20">
        <v>0</v>
      </c>
      <c r="H14" s="20">
        <v>1463</v>
      </c>
      <c r="I14" s="20">
        <v>0</v>
      </c>
      <c r="J14" s="20">
        <v>1463</v>
      </c>
      <c r="K14" s="20">
        <v>0</v>
      </c>
      <c r="L14" s="18"/>
      <c r="M14" s="22"/>
      <c r="N14" s="31">
        <f t="shared" si="0"/>
        <v>1463</v>
      </c>
      <c r="O14" s="32">
        <v>0</v>
      </c>
      <c r="P14" s="19" t="e">
        <f t="shared" si="1"/>
        <v>#DIV/0!</v>
      </c>
      <c r="R14" s="19">
        <v>11</v>
      </c>
      <c r="S14" s="20" t="s">
        <v>61</v>
      </c>
      <c r="T14" s="24" t="s">
        <v>26</v>
      </c>
      <c r="U14" s="20"/>
      <c r="V14" s="19"/>
      <c r="W14" s="19"/>
      <c r="X14" s="19"/>
      <c r="Y14" s="23"/>
      <c r="Z14" s="19"/>
      <c r="AA14" s="31">
        <f t="shared" si="2"/>
        <v>0</v>
      </c>
      <c r="AB14" s="32">
        <v>0</v>
      </c>
      <c r="AC14" s="20">
        <v>0</v>
      </c>
      <c r="AF14" s="51">
        <v>11</v>
      </c>
      <c r="AG14" s="20" t="s">
        <v>61</v>
      </c>
      <c r="AH14" s="24" t="s">
        <v>26</v>
      </c>
      <c r="AI14" s="19">
        <v>337</v>
      </c>
      <c r="AJ14" s="19"/>
      <c r="AK14" s="19"/>
      <c r="AL14" s="19"/>
      <c r="AM14" s="23"/>
      <c r="AN14" s="23"/>
      <c r="AO14" s="41">
        <f t="shared" ref="AO14:AO16" si="7">AI14+AJ14+AL14-AM14</f>
        <v>337</v>
      </c>
      <c r="AP14" s="41">
        <f>AO14-3584</f>
        <v>-3247</v>
      </c>
      <c r="AQ14" s="32">
        <f>AO14/0.75</f>
        <v>449.33333333333331</v>
      </c>
      <c r="AR14" s="54">
        <v>0</v>
      </c>
    </row>
    <row r="15" spans="1:44" ht="15.75">
      <c r="A15" s="19">
        <v>12</v>
      </c>
      <c r="B15" s="20" t="s">
        <v>61</v>
      </c>
      <c r="C15" s="21" t="s">
        <v>27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18"/>
      <c r="M15" s="22"/>
      <c r="N15" s="31">
        <f t="shared" si="0"/>
        <v>0</v>
      </c>
      <c r="O15" s="32">
        <v>0</v>
      </c>
      <c r="P15" s="19" t="e">
        <f t="shared" si="1"/>
        <v>#DIV/0!</v>
      </c>
      <c r="R15" s="19">
        <v>12</v>
      </c>
      <c r="S15" s="20" t="s">
        <v>61</v>
      </c>
      <c r="T15" s="21" t="s">
        <v>27</v>
      </c>
      <c r="U15" s="20"/>
      <c r="V15" s="19"/>
      <c r="W15" s="19"/>
      <c r="X15" s="19"/>
      <c r="Y15" s="23"/>
      <c r="Z15" s="19"/>
      <c r="AA15" s="31">
        <f t="shared" si="2"/>
        <v>0</v>
      </c>
      <c r="AB15" s="32">
        <v>0</v>
      </c>
      <c r="AC15" s="20">
        <v>0</v>
      </c>
      <c r="AF15" s="51">
        <v>12</v>
      </c>
      <c r="AG15" s="20" t="s">
        <v>61</v>
      </c>
      <c r="AH15" s="21" t="s">
        <v>27</v>
      </c>
      <c r="AI15" s="19"/>
      <c r="AJ15" s="19"/>
      <c r="AK15" s="19"/>
      <c r="AL15" s="19"/>
      <c r="AM15" s="23"/>
      <c r="AN15" s="23"/>
      <c r="AO15" s="41">
        <f t="shared" si="7"/>
        <v>0</v>
      </c>
      <c r="AP15" s="41">
        <f>AO15-0</f>
        <v>0</v>
      </c>
      <c r="AQ15" s="32">
        <f>AO15/19</f>
        <v>0</v>
      </c>
      <c r="AR15" s="54">
        <v>0</v>
      </c>
    </row>
    <row r="16" spans="1:44" ht="15.75">
      <c r="A16" s="19">
        <v>13</v>
      </c>
      <c r="B16" s="20" t="s">
        <v>61</v>
      </c>
      <c r="C16" s="25" t="s">
        <v>28</v>
      </c>
      <c r="D16" s="20">
        <v>12952.8</v>
      </c>
      <c r="E16" s="20">
        <v>395</v>
      </c>
      <c r="F16" s="20">
        <v>12952.8</v>
      </c>
      <c r="G16" s="20">
        <v>395</v>
      </c>
      <c r="H16" s="20">
        <v>12952.8</v>
      </c>
      <c r="I16" s="20">
        <v>395</v>
      </c>
      <c r="J16" s="20">
        <v>12952.8</v>
      </c>
      <c r="K16" s="20">
        <v>395</v>
      </c>
      <c r="L16" s="18"/>
      <c r="M16" s="22"/>
      <c r="N16" s="31">
        <f t="shared" si="0"/>
        <v>12952.8</v>
      </c>
      <c r="O16" s="32">
        <f>N16/17</f>
        <v>761.92941176470583</v>
      </c>
      <c r="P16" s="19">
        <f t="shared" si="1"/>
        <v>17</v>
      </c>
      <c r="R16" s="19">
        <v>13</v>
      </c>
      <c r="S16" s="20" t="s">
        <v>61</v>
      </c>
      <c r="T16" s="25" t="s">
        <v>28</v>
      </c>
      <c r="U16" s="20"/>
      <c r="V16" s="19"/>
      <c r="W16" s="19"/>
      <c r="X16" s="19"/>
      <c r="Y16" s="23"/>
      <c r="Z16" s="19"/>
      <c r="AA16" s="31">
        <f t="shared" si="2"/>
        <v>0</v>
      </c>
      <c r="AB16" s="32">
        <f>AA16/17</f>
        <v>0</v>
      </c>
      <c r="AC16" s="20" t="e">
        <f>AA16/AB16</f>
        <v>#DIV/0!</v>
      </c>
      <c r="AF16" s="51">
        <v>13</v>
      </c>
      <c r="AG16" s="20" t="s">
        <v>61</v>
      </c>
      <c r="AH16" s="25" t="s">
        <v>28</v>
      </c>
      <c r="AI16" s="19">
        <v>1989</v>
      </c>
      <c r="AJ16" s="19"/>
      <c r="AK16" s="19"/>
      <c r="AL16" s="19"/>
      <c r="AM16" s="23"/>
      <c r="AN16" s="23"/>
      <c r="AO16" s="41">
        <f t="shared" si="7"/>
        <v>1989</v>
      </c>
      <c r="AP16" s="41">
        <f>AO16-6253.5</f>
        <v>-4264.5</v>
      </c>
      <c r="AQ16" s="32">
        <f>AO16/16.5</f>
        <v>120.54545454545455</v>
      </c>
      <c r="AR16" s="54">
        <f t="shared" ref="AR16" si="8">AO16/AQ16</f>
        <v>16.5</v>
      </c>
    </row>
    <row r="17" spans="1:44" ht="15.75">
      <c r="A17" s="19">
        <v>14</v>
      </c>
      <c r="B17" s="20" t="s">
        <v>61</v>
      </c>
      <c r="C17" s="25" t="s">
        <v>29</v>
      </c>
      <c r="D17" s="20">
        <v>82</v>
      </c>
      <c r="E17" s="20">
        <v>0</v>
      </c>
      <c r="F17" s="20">
        <v>82</v>
      </c>
      <c r="G17" s="20">
        <v>0</v>
      </c>
      <c r="H17" s="20">
        <v>82</v>
      </c>
      <c r="I17" s="20">
        <v>0</v>
      </c>
      <c r="J17" s="20">
        <v>82</v>
      </c>
      <c r="K17" s="20">
        <v>0</v>
      </c>
      <c r="L17" s="18"/>
      <c r="M17" s="22"/>
      <c r="N17" s="31">
        <f t="shared" si="0"/>
        <v>82</v>
      </c>
      <c r="O17" s="32">
        <f>N17/17</f>
        <v>4.8235294117647056</v>
      </c>
      <c r="P17" s="19">
        <f t="shared" si="1"/>
        <v>17</v>
      </c>
      <c r="R17" s="19">
        <v>14</v>
      </c>
      <c r="S17" s="20" t="s">
        <v>61</v>
      </c>
      <c r="T17" s="25" t="s">
        <v>29</v>
      </c>
      <c r="U17" s="20"/>
      <c r="V17" s="19"/>
      <c r="W17" s="19"/>
      <c r="X17" s="19"/>
      <c r="Y17" s="23"/>
      <c r="Z17" s="19"/>
      <c r="AA17" s="31">
        <f t="shared" si="2"/>
        <v>0</v>
      </c>
      <c r="AB17" s="32">
        <f>AA17/19</f>
        <v>0</v>
      </c>
      <c r="AC17" s="20">
        <v>0</v>
      </c>
      <c r="AF17" s="51">
        <v>14</v>
      </c>
      <c r="AG17" s="20" t="s">
        <v>61</v>
      </c>
      <c r="AH17" s="25" t="s">
        <v>29</v>
      </c>
      <c r="AI17" s="19">
        <v>0</v>
      </c>
      <c r="AJ17" s="19"/>
      <c r="AK17" s="19"/>
      <c r="AL17" s="19"/>
      <c r="AM17" s="23"/>
      <c r="AN17" s="23"/>
      <c r="AO17" s="41">
        <f t="shared" ref="AO17:AO19" si="9">AI17+AJ17+AL17-AM17</f>
        <v>0</v>
      </c>
      <c r="AP17" s="41">
        <f>AO17-82</f>
        <v>-82</v>
      </c>
      <c r="AQ17" s="32">
        <f>AO17/18</f>
        <v>0</v>
      </c>
      <c r="AR17" s="54">
        <v>0</v>
      </c>
    </row>
    <row r="18" spans="1:44" ht="15.75">
      <c r="A18" s="19">
        <v>15</v>
      </c>
      <c r="B18" s="20" t="s">
        <v>61</v>
      </c>
      <c r="C18" s="25" t="s">
        <v>30</v>
      </c>
      <c r="D18" s="99">
        <v>-286.39999999999998</v>
      </c>
      <c r="E18" s="99">
        <v>0</v>
      </c>
      <c r="F18" s="99">
        <v>-286.39999999999998</v>
      </c>
      <c r="G18" s="99">
        <v>0</v>
      </c>
      <c r="H18" s="99">
        <v>-286.39999999999998</v>
      </c>
      <c r="I18" s="99">
        <v>0</v>
      </c>
      <c r="J18" s="99">
        <v>-286.39999999999998</v>
      </c>
      <c r="K18" s="99">
        <v>0</v>
      </c>
      <c r="L18" s="18"/>
      <c r="M18" s="22"/>
      <c r="N18" s="31">
        <f t="shared" si="0"/>
        <v>-286.39999999999998</v>
      </c>
      <c r="O18" s="32">
        <v>0</v>
      </c>
      <c r="P18" s="19" t="e">
        <f t="shared" si="1"/>
        <v>#DIV/0!</v>
      </c>
      <c r="R18" s="19">
        <v>15</v>
      </c>
      <c r="S18" s="20" t="s">
        <v>61</v>
      </c>
      <c r="T18" s="25" t="s">
        <v>30</v>
      </c>
      <c r="U18" s="20"/>
      <c r="V18" s="19"/>
      <c r="W18" s="19"/>
      <c r="X18" s="19"/>
      <c r="Y18" s="23"/>
      <c r="Z18" s="19"/>
      <c r="AA18" s="31">
        <f t="shared" si="2"/>
        <v>0</v>
      </c>
      <c r="AB18" s="32">
        <v>0</v>
      </c>
      <c r="AC18" s="20">
        <v>0</v>
      </c>
      <c r="AF18" s="51">
        <v>15</v>
      </c>
      <c r="AG18" s="20" t="s">
        <v>61</v>
      </c>
      <c r="AH18" s="25" t="s">
        <v>30</v>
      </c>
      <c r="AI18" s="19">
        <v>2982</v>
      </c>
      <c r="AJ18" s="19"/>
      <c r="AK18" s="19"/>
      <c r="AL18" s="19"/>
      <c r="AM18" s="23"/>
      <c r="AN18" s="23"/>
      <c r="AO18" s="41">
        <f t="shared" si="9"/>
        <v>2982</v>
      </c>
      <c r="AP18" s="41">
        <f>AO18-5659.3</f>
        <v>-2677.3</v>
      </c>
      <c r="AQ18" s="32">
        <v>0</v>
      </c>
      <c r="AR18" s="54">
        <v>0</v>
      </c>
    </row>
    <row r="19" spans="1:44" ht="15.75">
      <c r="A19" s="19">
        <v>16</v>
      </c>
      <c r="B19" s="20" t="s">
        <v>61</v>
      </c>
      <c r="C19" s="25" t="s">
        <v>31</v>
      </c>
      <c r="D19" s="20">
        <v>408.52</v>
      </c>
      <c r="E19" s="20">
        <v>0</v>
      </c>
      <c r="F19" s="20">
        <v>408.52</v>
      </c>
      <c r="G19" s="20">
        <v>0</v>
      </c>
      <c r="H19" s="20">
        <v>408.52</v>
      </c>
      <c r="I19" s="20">
        <v>0</v>
      </c>
      <c r="J19" s="20">
        <v>408.52</v>
      </c>
      <c r="K19" s="20">
        <v>0</v>
      </c>
      <c r="L19" s="18"/>
      <c r="M19" s="22"/>
      <c r="N19" s="31">
        <f t="shared" si="0"/>
        <v>408.52</v>
      </c>
      <c r="O19" s="32">
        <v>0</v>
      </c>
      <c r="P19" s="19" t="e">
        <f t="shared" si="1"/>
        <v>#DIV/0!</v>
      </c>
      <c r="R19" s="19">
        <v>16</v>
      </c>
      <c r="S19" s="20" t="s">
        <v>61</v>
      </c>
      <c r="T19" s="25" t="s">
        <v>31</v>
      </c>
      <c r="U19" s="20"/>
      <c r="V19" s="19"/>
      <c r="W19" s="19"/>
      <c r="X19" s="19"/>
      <c r="Y19" s="23"/>
      <c r="Z19" s="19"/>
      <c r="AA19" s="69">
        <f t="shared" si="2"/>
        <v>0</v>
      </c>
      <c r="AB19" s="32">
        <v>0</v>
      </c>
      <c r="AC19" s="20">
        <v>0</v>
      </c>
      <c r="AD19">
        <f>AA19-433.52</f>
        <v>-433.52</v>
      </c>
      <c r="AE19" t="s">
        <v>105</v>
      </c>
      <c r="AF19" s="51">
        <v>16</v>
      </c>
      <c r="AG19" s="20" t="s">
        <v>61</v>
      </c>
      <c r="AH19" s="25" t="s">
        <v>31</v>
      </c>
      <c r="AI19" s="19">
        <v>1555</v>
      </c>
      <c r="AJ19" s="19"/>
      <c r="AK19" s="19"/>
      <c r="AL19" s="19"/>
      <c r="AM19" s="23"/>
      <c r="AN19" s="23"/>
      <c r="AO19" s="41">
        <f t="shared" si="9"/>
        <v>1555</v>
      </c>
      <c r="AP19" s="41">
        <f>AO19-3643.52</f>
        <v>-2088.52</v>
      </c>
      <c r="AQ19" s="32">
        <v>0</v>
      </c>
      <c r="AR19" s="54">
        <v>0</v>
      </c>
    </row>
    <row r="20" spans="1:44" ht="15.75">
      <c r="A20" s="19">
        <v>17</v>
      </c>
      <c r="B20" s="20" t="s">
        <v>61</v>
      </c>
      <c r="C20" s="25" t="s">
        <v>32</v>
      </c>
      <c r="D20" s="20"/>
      <c r="E20" s="20">
        <v>0</v>
      </c>
      <c r="F20" s="20"/>
      <c r="G20" s="20">
        <v>0</v>
      </c>
      <c r="H20" s="20"/>
      <c r="I20" s="20">
        <v>0</v>
      </c>
      <c r="J20" s="20"/>
      <c r="K20" s="20">
        <v>0</v>
      </c>
      <c r="L20" s="18"/>
      <c r="M20" s="22"/>
      <c r="N20" s="31">
        <f t="shared" si="0"/>
        <v>0</v>
      </c>
      <c r="O20" s="32">
        <v>0</v>
      </c>
      <c r="P20" s="19" t="e">
        <f t="shared" si="1"/>
        <v>#DIV/0!</v>
      </c>
      <c r="R20" s="19">
        <v>17</v>
      </c>
      <c r="S20" s="20" t="s">
        <v>61</v>
      </c>
      <c r="T20" s="25" t="s">
        <v>32</v>
      </c>
      <c r="U20" s="20"/>
      <c r="V20" s="19"/>
      <c r="W20" s="19"/>
      <c r="X20" s="19"/>
      <c r="Y20" s="23"/>
      <c r="Z20" s="19"/>
      <c r="AA20" s="31">
        <f t="shared" si="2"/>
        <v>0</v>
      </c>
      <c r="AB20" s="32">
        <v>0</v>
      </c>
      <c r="AC20" s="20">
        <v>0</v>
      </c>
      <c r="AF20" s="51">
        <v>17</v>
      </c>
      <c r="AG20" s="20" t="s">
        <v>61</v>
      </c>
      <c r="AH20" s="25" t="s">
        <v>32</v>
      </c>
      <c r="AI20" s="19">
        <v>0</v>
      </c>
      <c r="AJ20" s="19"/>
      <c r="AK20" s="19"/>
      <c r="AL20" s="19"/>
      <c r="AM20" s="23"/>
      <c r="AN20" s="23"/>
      <c r="AO20" s="41">
        <f t="shared" ref="AO20:AO27" si="10">AI20+AJ20+AL20-AM20</f>
        <v>0</v>
      </c>
      <c r="AP20" s="41">
        <f>AO20-0</f>
        <v>0</v>
      </c>
      <c r="AQ20" s="32">
        <v>0</v>
      </c>
      <c r="AR20" s="54">
        <v>0</v>
      </c>
    </row>
    <row r="21" spans="1:44" ht="15.75">
      <c r="A21" s="19">
        <v>18</v>
      </c>
      <c r="B21" s="20" t="s">
        <v>61</v>
      </c>
      <c r="C21" s="25" t="s">
        <v>33</v>
      </c>
      <c r="D21" s="20">
        <v>170.5</v>
      </c>
      <c r="E21" s="20">
        <v>0</v>
      </c>
      <c r="F21" s="20">
        <v>170.5</v>
      </c>
      <c r="G21" s="20">
        <v>0</v>
      </c>
      <c r="H21" s="20">
        <v>170.5</v>
      </c>
      <c r="I21" s="20">
        <v>0</v>
      </c>
      <c r="J21" s="20">
        <v>170.5</v>
      </c>
      <c r="K21" s="20">
        <v>0</v>
      </c>
      <c r="L21" s="18"/>
      <c r="M21" s="22"/>
      <c r="N21" s="31">
        <f t="shared" si="0"/>
        <v>170.5</v>
      </c>
      <c r="O21" s="32">
        <v>0</v>
      </c>
      <c r="P21" s="19" t="e">
        <f t="shared" si="1"/>
        <v>#DIV/0!</v>
      </c>
      <c r="R21" s="19">
        <v>18</v>
      </c>
      <c r="S21" s="20" t="s">
        <v>61</v>
      </c>
      <c r="T21" s="25" t="s">
        <v>33</v>
      </c>
      <c r="U21" s="20"/>
      <c r="V21" s="19"/>
      <c r="W21" s="19"/>
      <c r="X21" s="19"/>
      <c r="Y21" s="23"/>
      <c r="Z21" s="19"/>
      <c r="AA21" s="69">
        <f t="shared" si="2"/>
        <v>0</v>
      </c>
      <c r="AB21" s="32">
        <v>0</v>
      </c>
      <c r="AC21" s="20">
        <v>0</v>
      </c>
      <c r="AD21">
        <f>AA21-1070.5</f>
        <v>-1070.5</v>
      </c>
      <c r="AE21" t="s">
        <v>47</v>
      </c>
      <c r="AF21" s="51">
        <v>18</v>
      </c>
      <c r="AG21" s="20" t="s">
        <v>61</v>
      </c>
      <c r="AH21" s="25" t="s">
        <v>33</v>
      </c>
      <c r="AI21" s="19">
        <v>0</v>
      </c>
      <c r="AJ21" s="19"/>
      <c r="AK21" s="19"/>
      <c r="AL21" s="19"/>
      <c r="AM21" s="23"/>
      <c r="AN21" s="23"/>
      <c r="AO21" s="41">
        <f t="shared" si="10"/>
        <v>0</v>
      </c>
      <c r="AP21" s="41">
        <f>AO21-2372.5</f>
        <v>-2372.5</v>
      </c>
      <c r="AQ21" s="32">
        <v>0</v>
      </c>
      <c r="AR21" s="54">
        <v>0</v>
      </c>
    </row>
    <row r="22" spans="1:44" ht="15.75">
      <c r="A22" s="19">
        <v>19</v>
      </c>
      <c r="B22" s="20" t="s">
        <v>61</v>
      </c>
      <c r="C22" s="25" t="s">
        <v>34</v>
      </c>
      <c r="D22" s="20">
        <v>97</v>
      </c>
      <c r="E22" s="20">
        <v>0</v>
      </c>
      <c r="F22" s="20">
        <v>97</v>
      </c>
      <c r="G22" s="20">
        <v>0</v>
      </c>
      <c r="H22" s="20">
        <v>97</v>
      </c>
      <c r="I22" s="20">
        <v>0</v>
      </c>
      <c r="J22" s="20">
        <v>97</v>
      </c>
      <c r="K22" s="20">
        <v>0</v>
      </c>
      <c r="L22" s="18"/>
      <c r="M22" s="22"/>
      <c r="N22" s="31">
        <f t="shared" si="0"/>
        <v>97</v>
      </c>
      <c r="O22" s="32">
        <v>0</v>
      </c>
      <c r="P22" s="19" t="e">
        <f t="shared" si="1"/>
        <v>#DIV/0!</v>
      </c>
      <c r="R22" s="19">
        <v>19</v>
      </c>
      <c r="S22" s="20" t="s">
        <v>61</v>
      </c>
      <c r="T22" s="25" t="s">
        <v>34</v>
      </c>
      <c r="U22" s="20"/>
      <c r="V22" s="19"/>
      <c r="W22" s="19"/>
      <c r="X22" s="19"/>
      <c r="Y22" s="23"/>
      <c r="Z22" s="19"/>
      <c r="AA22" s="31">
        <f t="shared" si="2"/>
        <v>0</v>
      </c>
      <c r="AB22" s="32">
        <v>0</v>
      </c>
      <c r="AC22" s="20">
        <v>0</v>
      </c>
      <c r="AF22" s="51">
        <v>19</v>
      </c>
      <c r="AG22" s="20" t="s">
        <v>61</v>
      </c>
      <c r="AH22" s="25" t="s">
        <v>34</v>
      </c>
      <c r="AI22" s="19">
        <v>0</v>
      </c>
      <c r="AJ22" s="19"/>
      <c r="AK22" s="19"/>
      <c r="AL22" s="19"/>
      <c r="AM22" s="23"/>
      <c r="AN22" s="23"/>
      <c r="AO22" s="41">
        <f t="shared" si="10"/>
        <v>0</v>
      </c>
      <c r="AP22" s="41">
        <f>AO22-97</f>
        <v>-97</v>
      </c>
      <c r="AQ22" s="32">
        <v>0</v>
      </c>
      <c r="AR22" s="54">
        <v>0</v>
      </c>
    </row>
    <row r="23" spans="1:44" ht="15.75">
      <c r="A23" s="19">
        <v>20</v>
      </c>
      <c r="B23" s="20" t="s">
        <v>61</v>
      </c>
      <c r="C23" s="25" t="s">
        <v>35</v>
      </c>
      <c r="D23" s="20">
        <v>709</v>
      </c>
      <c r="E23" s="20">
        <v>0</v>
      </c>
      <c r="F23" s="20">
        <v>709</v>
      </c>
      <c r="G23" s="20">
        <v>0</v>
      </c>
      <c r="H23" s="20">
        <v>709</v>
      </c>
      <c r="I23" s="20">
        <v>0</v>
      </c>
      <c r="J23" s="20">
        <v>709</v>
      </c>
      <c r="K23" s="20">
        <v>0</v>
      </c>
      <c r="L23" s="18"/>
      <c r="M23" s="22"/>
      <c r="N23" s="31">
        <f t="shared" si="0"/>
        <v>709</v>
      </c>
      <c r="O23" s="32">
        <v>0</v>
      </c>
      <c r="P23" s="19" t="e">
        <f t="shared" si="1"/>
        <v>#DIV/0!</v>
      </c>
      <c r="R23" s="19">
        <v>20</v>
      </c>
      <c r="S23" s="20" t="s">
        <v>61</v>
      </c>
      <c r="T23" s="25" t="s">
        <v>35</v>
      </c>
      <c r="U23" s="20"/>
      <c r="V23" s="19"/>
      <c r="W23" s="19"/>
      <c r="X23" s="19"/>
      <c r="Y23" s="23"/>
      <c r="Z23" s="19"/>
      <c r="AA23" s="31">
        <f t="shared" si="2"/>
        <v>0</v>
      </c>
      <c r="AB23" s="32">
        <v>0</v>
      </c>
      <c r="AC23" s="20">
        <v>0</v>
      </c>
      <c r="AF23" s="51">
        <v>20</v>
      </c>
      <c r="AG23" s="20" t="s">
        <v>61</v>
      </c>
      <c r="AH23" s="25" t="s">
        <v>35</v>
      </c>
      <c r="AI23" s="19">
        <v>0</v>
      </c>
      <c r="AJ23" s="19"/>
      <c r="AK23" s="19"/>
      <c r="AL23" s="19"/>
      <c r="AM23" s="23"/>
      <c r="AN23" s="23"/>
      <c r="AO23" s="41">
        <v>2264</v>
      </c>
      <c r="AP23" s="41">
        <f>AO23-709</f>
        <v>1555</v>
      </c>
      <c r="AQ23" s="32">
        <v>0</v>
      </c>
      <c r="AR23" s="54">
        <v>0</v>
      </c>
    </row>
    <row r="24" spans="1:44" ht="15.75">
      <c r="A24" s="19">
        <v>21</v>
      </c>
      <c r="B24" s="20" t="s">
        <v>61</v>
      </c>
      <c r="C24" s="25" t="s">
        <v>36</v>
      </c>
      <c r="D24" s="20">
        <v>1665</v>
      </c>
      <c r="E24" s="20">
        <v>0</v>
      </c>
      <c r="F24" s="20">
        <v>1665</v>
      </c>
      <c r="G24" s="20">
        <v>0</v>
      </c>
      <c r="H24" s="20">
        <v>1665</v>
      </c>
      <c r="I24" s="20">
        <v>0</v>
      </c>
      <c r="J24" s="20">
        <v>1665</v>
      </c>
      <c r="K24" s="20">
        <v>0</v>
      </c>
      <c r="L24" s="18"/>
      <c r="M24" s="22"/>
      <c r="N24" s="31">
        <f t="shared" si="0"/>
        <v>1665</v>
      </c>
      <c r="O24" s="32">
        <v>0</v>
      </c>
      <c r="P24" s="19" t="e">
        <f t="shared" si="1"/>
        <v>#DIV/0!</v>
      </c>
      <c r="R24" s="19">
        <v>21</v>
      </c>
      <c r="S24" s="20" t="s">
        <v>61</v>
      </c>
      <c r="T24" s="25" t="s">
        <v>36</v>
      </c>
      <c r="U24" s="20"/>
      <c r="V24" s="19"/>
      <c r="W24" s="19"/>
      <c r="X24" s="19"/>
      <c r="Y24" s="23"/>
      <c r="Z24" s="19"/>
      <c r="AA24" s="31">
        <f t="shared" si="2"/>
        <v>0</v>
      </c>
      <c r="AB24" s="32">
        <v>0</v>
      </c>
      <c r="AC24" s="20">
        <v>0</v>
      </c>
      <c r="AF24" s="51">
        <v>21</v>
      </c>
      <c r="AG24" s="20" t="s">
        <v>61</v>
      </c>
      <c r="AH24" s="25" t="s">
        <v>36</v>
      </c>
      <c r="AI24" s="19">
        <v>0</v>
      </c>
      <c r="AJ24" s="19"/>
      <c r="AK24" s="19"/>
      <c r="AL24" s="19"/>
      <c r="AM24" s="23"/>
      <c r="AN24" s="23"/>
      <c r="AO24" s="41">
        <f t="shared" si="10"/>
        <v>0</v>
      </c>
      <c r="AP24" s="41">
        <f>AO24-0</f>
        <v>0</v>
      </c>
      <c r="AQ24" s="32">
        <f t="shared" ref="AQ24" si="11">AO24/19</f>
        <v>0</v>
      </c>
      <c r="AR24" s="54">
        <v>0</v>
      </c>
    </row>
    <row r="25" spans="1:44" ht="15.75">
      <c r="A25" s="19">
        <v>22</v>
      </c>
      <c r="B25" s="20" t="s">
        <v>61</v>
      </c>
      <c r="C25" s="25" t="s">
        <v>37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18"/>
      <c r="M25" s="22"/>
      <c r="N25" s="31">
        <f t="shared" si="0"/>
        <v>0</v>
      </c>
      <c r="O25" s="32">
        <v>0</v>
      </c>
      <c r="P25" s="19" t="e">
        <f t="shared" si="1"/>
        <v>#DIV/0!</v>
      </c>
      <c r="R25" s="19">
        <v>22</v>
      </c>
      <c r="S25" s="20" t="s">
        <v>61</v>
      </c>
      <c r="T25" s="25" t="s">
        <v>37</v>
      </c>
      <c r="U25" s="20"/>
      <c r="V25" s="19"/>
      <c r="W25" s="19"/>
      <c r="X25" s="19"/>
      <c r="Y25" s="23"/>
      <c r="Z25" s="19"/>
      <c r="AA25" s="48">
        <f t="shared" si="2"/>
        <v>0</v>
      </c>
      <c r="AB25" s="32">
        <v>0</v>
      </c>
      <c r="AC25" s="20">
        <v>0</v>
      </c>
      <c r="AF25" s="51">
        <v>22</v>
      </c>
      <c r="AG25" s="20" t="s">
        <v>61</v>
      </c>
      <c r="AH25" s="25" t="s">
        <v>37</v>
      </c>
      <c r="AI25" s="19">
        <v>1252</v>
      </c>
      <c r="AJ25" s="19"/>
      <c r="AK25" s="19"/>
      <c r="AL25" s="19"/>
      <c r="AM25" s="23"/>
      <c r="AN25" s="23"/>
      <c r="AO25" s="41">
        <f t="shared" si="10"/>
        <v>1252</v>
      </c>
      <c r="AP25" s="41">
        <f>AO25-2812</f>
        <v>-1560</v>
      </c>
      <c r="AQ25" s="32">
        <v>0</v>
      </c>
      <c r="AR25" s="54">
        <v>0</v>
      </c>
    </row>
    <row r="26" spans="1:44" ht="15.75">
      <c r="A26" s="19">
        <v>23</v>
      </c>
      <c r="B26" s="20" t="s">
        <v>61</v>
      </c>
      <c r="C26" s="21" t="s">
        <v>38</v>
      </c>
      <c r="D26" s="20">
        <v>72</v>
      </c>
      <c r="E26" s="20">
        <v>60</v>
      </c>
      <c r="F26" s="20">
        <v>72</v>
      </c>
      <c r="G26" s="20">
        <v>60</v>
      </c>
      <c r="H26" s="20">
        <v>72</v>
      </c>
      <c r="I26" s="20">
        <v>60</v>
      </c>
      <c r="J26" s="20">
        <v>72</v>
      </c>
      <c r="K26" s="20">
        <v>60</v>
      </c>
      <c r="L26" s="18"/>
      <c r="M26" s="22"/>
      <c r="N26" s="31">
        <f t="shared" si="0"/>
        <v>72</v>
      </c>
      <c r="O26" s="32">
        <f>N26/3</f>
        <v>24</v>
      </c>
      <c r="P26" s="19">
        <f t="shared" si="1"/>
        <v>3</v>
      </c>
      <c r="R26" s="19">
        <v>23</v>
      </c>
      <c r="S26" s="20" t="s">
        <v>61</v>
      </c>
      <c r="T26" s="21" t="s">
        <v>38</v>
      </c>
      <c r="U26" s="20"/>
      <c r="V26" s="19"/>
      <c r="W26" s="19"/>
      <c r="X26" s="19"/>
      <c r="Y26" s="23"/>
      <c r="Z26" s="19"/>
      <c r="AA26" s="31">
        <f t="shared" si="2"/>
        <v>0</v>
      </c>
      <c r="AB26" s="32">
        <f t="shared" ref="AB26:AB31" si="12">AA26/19</f>
        <v>0</v>
      </c>
      <c r="AC26" s="20">
        <v>0</v>
      </c>
      <c r="AF26" s="51">
        <v>23</v>
      </c>
      <c r="AG26" s="20" t="s">
        <v>61</v>
      </c>
      <c r="AH26" s="21" t="s">
        <v>38</v>
      </c>
      <c r="AI26" s="39"/>
      <c r="AJ26" s="19"/>
      <c r="AK26" s="20">
        <v>120</v>
      </c>
      <c r="AL26" s="19"/>
      <c r="AM26" s="23"/>
      <c r="AN26" s="23"/>
      <c r="AO26" s="42">
        <f t="shared" si="10"/>
        <v>0</v>
      </c>
      <c r="AP26" s="31"/>
      <c r="AQ26" s="32">
        <f t="shared" ref="AQ26:AQ37" si="13">AO26/19</f>
        <v>0</v>
      </c>
      <c r="AR26" s="54">
        <v>0</v>
      </c>
    </row>
    <row r="27" spans="1:44" ht="15.75">
      <c r="A27" s="19">
        <v>24</v>
      </c>
      <c r="B27" s="20" t="s">
        <v>61</v>
      </c>
      <c r="C27" s="21" t="s">
        <v>39</v>
      </c>
      <c r="D27" s="20"/>
      <c r="E27" s="20">
        <v>0</v>
      </c>
      <c r="F27" s="20"/>
      <c r="G27" s="20">
        <v>0</v>
      </c>
      <c r="H27" s="20"/>
      <c r="I27" s="20">
        <v>0</v>
      </c>
      <c r="J27" s="20"/>
      <c r="K27" s="20">
        <v>0</v>
      </c>
      <c r="L27" s="18"/>
      <c r="M27" s="22"/>
      <c r="N27" s="31">
        <f t="shared" si="0"/>
        <v>0</v>
      </c>
      <c r="O27" s="32">
        <f t="shared" ref="O27:O31" si="14">N27/19</f>
        <v>0</v>
      </c>
      <c r="P27" s="19" t="e">
        <f t="shared" si="1"/>
        <v>#DIV/0!</v>
      </c>
      <c r="R27" s="19">
        <v>24</v>
      </c>
      <c r="S27" s="20" t="s">
        <v>61</v>
      </c>
      <c r="T27" s="21" t="s">
        <v>39</v>
      </c>
      <c r="U27" s="20"/>
      <c r="V27" s="19"/>
      <c r="W27" s="19"/>
      <c r="X27" s="19"/>
      <c r="Y27" s="23"/>
      <c r="Z27" s="19"/>
      <c r="AA27" s="31">
        <f t="shared" si="2"/>
        <v>0</v>
      </c>
      <c r="AB27" s="32">
        <f t="shared" si="12"/>
        <v>0</v>
      </c>
      <c r="AC27" s="20">
        <v>0</v>
      </c>
      <c r="AF27" s="51">
        <v>24</v>
      </c>
      <c r="AG27" s="20" t="s">
        <v>61</v>
      </c>
      <c r="AH27" s="21" t="s">
        <v>39</v>
      </c>
      <c r="AI27" s="39"/>
      <c r="AJ27" s="19"/>
      <c r="AK27" s="20">
        <v>460</v>
      </c>
      <c r="AL27" s="19"/>
      <c r="AM27" s="23"/>
      <c r="AN27" s="23"/>
      <c r="AO27" s="42">
        <f t="shared" si="10"/>
        <v>0</v>
      </c>
      <c r="AP27" s="31"/>
      <c r="AQ27" s="32">
        <f t="shared" si="13"/>
        <v>0</v>
      </c>
      <c r="AR27" s="54">
        <v>0</v>
      </c>
    </row>
    <row r="28" spans="1:44" ht="15.75">
      <c r="A28" s="19">
        <v>25</v>
      </c>
      <c r="B28" s="20" t="s">
        <v>61</v>
      </c>
      <c r="C28" s="21" t="s">
        <v>40</v>
      </c>
      <c r="D28" s="20">
        <v>42.3</v>
      </c>
      <c r="E28" s="20">
        <v>140</v>
      </c>
      <c r="F28" s="20">
        <v>42.3</v>
      </c>
      <c r="G28" s="20">
        <v>140</v>
      </c>
      <c r="H28" s="20">
        <v>42.3</v>
      </c>
      <c r="I28" s="20">
        <v>140</v>
      </c>
      <c r="J28" s="20">
        <v>42.3</v>
      </c>
      <c r="K28" s="20">
        <v>140</v>
      </c>
      <c r="L28" s="18"/>
      <c r="M28" s="22"/>
      <c r="N28" s="31">
        <f t="shared" si="0"/>
        <v>42.3</v>
      </c>
      <c r="O28" s="32">
        <f>N28/0.4</f>
        <v>105.74999999999999</v>
      </c>
      <c r="P28" s="19">
        <f t="shared" si="1"/>
        <v>0.4</v>
      </c>
      <c r="R28" s="19">
        <v>25</v>
      </c>
      <c r="S28" s="20" t="s">
        <v>61</v>
      </c>
      <c r="T28" s="21" t="s">
        <v>40</v>
      </c>
      <c r="U28" s="20"/>
      <c r="V28" s="19"/>
      <c r="W28" s="19"/>
      <c r="X28" s="19"/>
      <c r="Y28" s="23"/>
      <c r="Z28" s="19"/>
      <c r="AA28" s="31">
        <f t="shared" si="2"/>
        <v>0</v>
      </c>
      <c r="AB28" s="32">
        <f t="shared" si="12"/>
        <v>0</v>
      </c>
      <c r="AC28" s="20">
        <v>0</v>
      </c>
      <c r="AF28" s="51">
        <v>25</v>
      </c>
      <c r="AG28" s="20" t="s">
        <v>61</v>
      </c>
      <c r="AH28" s="21" t="s">
        <v>40</v>
      </c>
      <c r="AI28" s="39"/>
      <c r="AJ28" s="19"/>
      <c r="AK28" s="20">
        <v>610</v>
      </c>
      <c r="AL28" s="19"/>
      <c r="AM28" s="23"/>
      <c r="AN28" s="23"/>
      <c r="AO28" s="31">
        <f t="shared" ref="AO28:AO37" si="15">AI28+AJ28+AL28-AM28</f>
        <v>0</v>
      </c>
      <c r="AP28" s="31"/>
      <c r="AQ28" s="32">
        <f t="shared" si="13"/>
        <v>0</v>
      </c>
      <c r="AR28" s="54">
        <v>0</v>
      </c>
    </row>
    <row r="29" spans="1:44" ht="15.75">
      <c r="A29" s="19">
        <v>26</v>
      </c>
      <c r="B29" s="20" t="s">
        <v>61</v>
      </c>
      <c r="C29" s="21" t="s">
        <v>41</v>
      </c>
      <c r="D29" s="27"/>
      <c r="E29" s="27">
        <v>0</v>
      </c>
      <c r="F29" s="27"/>
      <c r="G29" s="27">
        <v>0</v>
      </c>
      <c r="H29" s="27"/>
      <c r="I29" s="27">
        <v>0</v>
      </c>
      <c r="J29" s="27"/>
      <c r="K29" s="27">
        <v>0</v>
      </c>
      <c r="L29" s="18"/>
      <c r="M29" s="22"/>
      <c r="N29" s="31">
        <f t="shared" si="0"/>
        <v>0</v>
      </c>
      <c r="O29" s="32">
        <f t="shared" si="14"/>
        <v>0</v>
      </c>
      <c r="P29" s="19" t="e">
        <f t="shared" si="1"/>
        <v>#DIV/0!</v>
      </c>
      <c r="R29" s="19">
        <v>26</v>
      </c>
      <c r="S29" s="20" t="s">
        <v>61</v>
      </c>
      <c r="T29" s="21" t="s">
        <v>41</v>
      </c>
      <c r="U29" s="20"/>
      <c r="V29" s="28"/>
      <c r="W29" s="28"/>
      <c r="X29" s="28"/>
      <c r="Y29" s="23"/>
      <c r="Z29" s="28"/>
      <c r="AA29" s="31">
        <f t="shared" si="2"/>
        <v>0</v>
      </c>
      <c r="AB29" s="32">
        <f t="shared" si="12"/>
        <v>0</v>
      </c>
      <c r="AC29" s="20">
        <v>0</v>
      </c>
      <c r="AF29" s="51">
        <v>26</v>
      </c>
      <c r="AG29" s="20" t="s">
        <v>61</v>
      </c>
      <c r="AH29" s="21" t="s">
        <v>41</v>
      </c>
      <c r="AI29" s="39"/>
      <c r="AJ29" s="28"/>
      <c r="AK29" s="20">
        <v>733</v>
      </c>
      <c r="AL29" s="28"/>
      <c r="AM29" s="29"/>
      <c r="AN29" s="29"/>
      <c r="AO29" s="31">
        <f t="shared" si="15"/>
        <v>0</v>
      </c>
      <c r="AP29" s="31"/>
      <c r="AQ29" s="32">
        <f t="shared" si="13"/>
        <v>0</v>
      </c>
      <c r="AR29" s="54">
        <v>0</v>
      </c>
    </row>
    <row r="30" spans="1:44" ht="15.75">
      <c r="A30" s="19">
        <v>27</v>
      </c>
      <c r="B30" s="20" t="s">
        <v>61</v>
      </c>
      <c r="C30" s="21" t="s">
        <v>42</v>
      </c>
      <c r="D30" s="101">
        <v>341.8</v>
      </c>
      <c r="E30" s="27">
        <v>292</v>
      </c>
      <c r="F30" s="101">
        <v>341.8</v>
      </c>
      <c r="G30" s="27">
        <v>292</v>
      </c>
      <c r="H30" s="101">
        <v>341.8</v>
      </c>
      <c r="I30" s="27">
        <v>292</v>
      </c>
      <c r="J30" s="101">
        <v>341.8</v>
      </c>
      <c r="K30" s="27">
        <v>292</v>
      </c>
      <c r="L30" s="18"/>
      <c r="M30" s="22"/>
      <c r="N30" s="31">
        <f t="shared" si="0"/>
        <v>341.8</v>
      </c>
      <c r="O30" s="32">
        <f>N30/0.6</f>
        <v>569.66666666666674</v>
      </c>
      <c r="P30" s="19">
        <f t="shared" si="1"/>
        <v>0.6</v>
      </c>
      <c r="R30" s="19">
        <v>27</v>
      </c>
      <c r="S30" s="20" t="s">
        <v>61</v>
      </c>
      <c r="T30" s="21" t="s">
        <v>42</v>
      </c>
      <c r="U30" s="27"/>
      <c r="V30" s="28"/>
      <c r="W30" s="28"/>
      <c r="X30" s="28"/>
      <c r="Y30" s="23"/>
      <c r="Z30" s="28"/>
      <c r="AA30" s="31">
        <f t="shared" si="2"/>
        <v>0</v>
      </c>
      <c r="AB30" s="32">
        <f t="shared" si="12"/>
        <v>0</v>
      </c>
      <c r="AC30" s="20">
        <v>0</v>
      </c>
      <c r="AF30" s="51">
        <v>27</v>
      </c>
      <c r="AG30" s="20" t="s">
        <v>61</v>
      </c>
      <c r="AH30" s="21" t="s">
        <v>42</v>
      </c>
      <c r="AI30" s="39"/>
      <c r="AJ30" s="28"/>
      <c r="AK30" s="20">
        <v>0</v>
      </c>
      <c r="AL30" s="28"/>
      <c r="AM30" s="29"/>
      <c r="AN30" s="29"/>
      <c r="AO30" s="31">
        <f t="shared" si="15"/>
        <v>0</v>
      </c>
      <c r="AP30" s="31"/>
      <c r="AQ30" s="32">
        <f t="shared" si="13"/>
        <v>0</v>
      </c>
      <c r="AR30" s="54">
        <v>0</v>
      </c>
    </row>
    <row r="31" spans="1:44" ht="15.75">
      <c r="A31" s="19">
        <v>31</v>
      </c>
      <c r="B31" s="20" t="s">
        <v>61</v>
      </c>
      <c r="C31" s="21" t="s">
        <v>43</v>
      </c>
      <c r="D31" s="27"/>
      <c r="E31" s="27"/>
      <c r="F31" s="27"/>
      <c r="G31" s="27"/>
      <c r="H31" s="27"/>
      <c r="I31" s="27"/>
      <c r="J31" s="27"/>
      <c r="K31" s="27"/>
      <c r="L31" s="18"/>
      <c r="M31" s="22"/>
      <c r="N31" s="31">
        <f t="shared" si="0"/>
        <v>0</v>
      </c>
      <c r="O31" s="32">
        <f t="shared" si="14"/>
        <v>0</v>
      </c>
      <c r="P31" s="19" t="e">
        <f t="shared" si="1"/>
        <v>#DIV/0!</v>
      </c>
      <c r="R31" s="19">
        <v>31</v>
      </c>
      <c r="S31" s="20" t="s">
        <v>61</v>
      </c>
      <c r="T31" s="21" t="s">
        <v>43</v>
      </c>
      <c r="U31" s="27"/>
      <c r="V31" s="28"/>
      <c r="W31" s="28"/>
      <c r="X31" s="28"/>
      <c r="Y31" s="23"/>
      <c r="Z31" s="28"/>
      <c r="AA31" s="31">
        <f t="shared" si="2"/>
        <v>0</v>
      </c>
      <c r="AB31" s="32">
        <f t="shared" si="12"/>
        <v>0</v>
      </c>
      <c r="AC31" s="20">
        <v>0</v>
      </c>
      <c r="AF31" s="51">
        <v>28</v>
      </c>
      <c r="AG31" s="20" t="s">
        <v>61</v>
      </c>
      <c r="AH31" s="21" t="s">
        <v>62</v>
      </c>
      <c r="AI31" s="39"/>
      <c r="AJ31" s="28"/>
      <c r="AK31" s="20">
        <v>0</v>
      </c>
      <c r="AL31" s="28"/>
      <c r="AM31" s="29"/>
      <c r="AN31" s="29"/>
      <c r="AO31" s="31">
        <f t="shared" si="15"/>
        <v>0</v>
      </c>
      <c r="AP31" s="31"/>
      <c r="AQ31" s="32">
        <f t="shared" si="13"/>
        <v>0</v>
      </c>
      <c r="AR31" s="54">
        <v>0</v>
      </c>
    </row>
    <row r="32" spans="1:44" ht="15.75">
      <c r="A32" s="20"/>
      <c r="B32" s="20"/>
      <c r="C32" s="175" t="s">
        <v>110</v>
      </c>
      <c r="D32" s="188">
        <f>SUM(D4:D31)</f>
        <v>22902.519999999997</v>
      </c>
      <c r="E32" s="188"/>
      <c r="F32" s="188">
        <f>SUM(F4:F31)</f>
        <v>22902.519999999997</v>
      </c>
      <c r="G32" s="188"/>
      <c r="H32" s="188">
        <f>SUM(H4:H31)</f>
        <v>22902.519999999997</v>
      </c>
      <c r="I32" s="188"/>
      <c r="J32" s="188">
        <f>SUM(J4:J31)</f>
        <v>22902.519999999997</v>
      </c>
      <c r="K32" s="188"/>
      <c r="L32" s="175"/>
      <c r="M32" s="193"/>
      <c r="N32" s="193"/>
      <c r="O32" s="183"/>
      <c r="P32" s="19" t="e">
        <f t="shared" si="1"/>
        <v>#DIV/0!</v>
      </c>
      <c r="R32" s="20"/>
      <c r="S32" s="20"/>
      <c r="T32" s="20"/>
      <c r="U32" s="30">
        <f>SUM(U4:U31)</f>
        <v>0</v>
      </c>
      <c r="V32" s="20"/>
      <c r="W32" s="20"/>
      <c r="X32" s="20"/>
      <c r="Y32" s="23"/>
      <c r="Z32" s="20"/>
      <c r="AA32" s="34">
        <f>SUM(AA4:AA31)</f>
        <v>0</v>
      </c>
      <c r="AB32" s="32"/>
      <c r="AC32" s="28"/>
      <c r="AF32" s="51">
        <v>29</v>
      </c>
      <c r="AG32" s="20" t="s">
        <v>61</v>
      </c>
      <c r="AH32" s="21" t="s">
        <v>63</v>
      </c>
      <c r="AI32" s="39"/>
      <c r="AJ32" s="28"/>
      <c r="AK32" s="20">
        <v>416</v>
      </c>
      <c r="AL32" s="28"/>
      <c r="AM32" s="29"/>
      <c r="AN32" s="29"/>
      <c r="AO32" s="31">
        <f t="shared" si="15"/>
        <v>0</v>
      </c>
      <c r="AP32" s="31"/>
      <c r="AQ32" s="32">
        <f t="shared" si="13"/>
        <v>0</v>
      </c>
      <c r="AR32" s="54">
        <v>0</v>
      </c>
    </row>
    <row r="33" spans="1:44" ht="15.75">
      <c r="A33" s="28"/>
      <c r="B33" s="28"/>
      <c r="C33" s="28"/>
      <c r="D33" s="28">
        <f>D4+D8+D18</f>
        <v>4456.6000000000004</v>
      </c>
      <c r="E33" s="28"/>
      <c r="F33" s="28">
        <f>F4+F18+F8</f>
        <v>4456.6000000000004</v>
      </c>
      <c r="G33" s="28"/>
      <c r="H33" s="28">
        <f>H4+H8+H18</f>
        <v>4456.6000000000004</v>
      </c>
      <c r="I33" s="28"/>
      <c r="J33" s="28">
        <f>J4+J8+J18</f>
        <v>4456.6000000000004</v>
      </c>
      <c r="K33" s="28"/>
      <c r="L33" s="28"/>
      <c r="M33" s="20" t="s">
        <v>44</v>
      </c>
      <c r="N33" s="20" t="e">
        <f>#REF!+N32</f>
        <v>#REF!</v>
      </c>
      <c r="O33" s="28"/>
      <c r="P33" s="28"/>
      <c r="R33" s="28"/>
      <c r="S33" s="28"/>
      <c r="T33" s="28"/>
      <c r="U33" s="28"/>
      <c r="V33" s="28"/>
      <c r="W33" s="28"/>
      <c r="X33" s="28"/>
      <c r="Y33" s="20" t="s">
        <v>44</v>
      </c>
      <c r="Z33" s="20"/>
      <c r="AA33" s="20">
        <f>Z33+AA32</f>
        <v>0</v>
      </c>
      <c r="AB33" s="28"/>
      <c r="AC33" s="28"/>
      <c r="AF33" s="51">
        <v>30</v>
      </c>
      <c r="AG33" s="20" t="s">
        <v>61</v>
      </c>
      <c r="AH33" s="21" t="s">
        <v>64</v>
      </c>
      <c r="AI33" s="39"/>
      <c r="AJ33" s="28"/>
      <c r="AK33" s="20">
        <v>546</v>
      </c>
      <c r="AL33" s="28"/>
      <c r="AM33" s="29"/>
      <c r="AN33" s="29"/>
      <c r="AO33" s="31">
        <f t="shared" si="15"/>
        <v>0</v>
      </c>
      <c r="AP33" s="31"/>
      <c r="AQ33" s="32">
        <f t="shared" si="13"/>
        <v>0</v>
      </c>
      <c r="AR33" s="54">
        <v>0</v>
      </c>
    </row>
    <row r="34" spans="1:44" ht="15.75">
      <c r="A34" s="28"/>
      <c r="B34" s="192"/>
      <c r="C34" s="28"/>
      <c r="D34" s="40">
        <f>D6+D9+D10+D11+D12+D13+D14+D16+D17+D19+D21+D22+D23+D24+D26+D28+D30</f>
        <v>18445.919999999998</v>
      </c>
      <c r="E34" s="28"/>
      <c r="F34" s="40">
        <f>F6+F9+F10+F11+F12+F13+F14+F16+F17+F19+F21+F22+F23+F24+F26+F28+F30</f>
        <v>18445.919999999998</v>
      </c>
      <c r="G34" s="28"/>
      <c r="H34" s="40">
        <f>H6+H9+H10+H11+H12+H13+H14+H16+H17+H19+H21+H22+H23+H24+H26+H28+H30</f>
        <v>18445.919999999998</v>
      </c>
      <c r="I34" s="28"/>
      <c r="J34" s="40">
        <f>J6+J9+J10+J11+J12+J13+J14+J16+J17+J19+J21+J22+J23+J24+J26+J28+J30</f>
        <v>18445.919999999998</v>
      </c>
      <c r="K34" s="28"/>
      <c r="L34" s="28"/>
      <c r="M34" s="28"/>
      <c r="N34" s="28"/>
      <c r="O34" s="28"/>
      <c r="P34" s="28"/>
      <c r="X34"/>
      <c r="Z34" s="35" t="s">
        <v>47</v>
      </c>
      <c r="AF34" s="51">
        <v>31</v>
      </c>
      <c r="AG34" s="20" t="s">
        <v>61</v>
      </c>
      <c r="AH34" s="21" t="s">
        <v>65</v>
      </c>
      <c r="AI34" s="39"/>
      <c r="AJ34" s="28"/>
      <c r="AK34" s="20">
        <v>555</v>
      </c>
      <c r="AL34" s="28"/>
      <c r="AM34" s="29"/>
      <c r="AN34" s="29"/>
      <c r="AO34" s="31">
        <f t="shared" si="15"/>
        <v>0</v>
      </c>
      <c r="AP34" s="31"/>
      <c r="AQ34" s="32">
        <f t="shared" si="13"/>
        <v>0</v>
      </c>
      <c r="AR34" s="54">
        <v>0</v>
      </c>
    </row>
    <row r="35" spans="1:44" ht="15.75">
      <c r="A35" s="28"/>
      <c r="B35" s="28"/>
      <c r="C35" s="187" t="s">
        <v>157</v>
      </c>
      <c r="D35" s="28">
        <f>SUM(D33:D34)</f>
        <v>22902.519999999997</v>
      </c>
      <c r="E35" s="28"/>
      <c r="F35" s="28">
        <f>SUM(F33:F34)</f>
        <v>22902.519999999997</v>
      </c>
      <c r="G35" s="28"/>
      <c r="H35" s="28">
        <f>SUM(H33:H34)</f>
        <v>22902.519999999997</v>
      </c>
      <c r="I35" s="28"/>
      <c r="J35" s="28">
        <f>SUM(J33:J34)</f>
        <v>22902.519999999997</v>
      </c>
      <c r="K35" s="28"/>
      <c r="L35" s="28"/>
      <c r="M35" s="28"/>
      <c r="N35" s="28"/>
      <c r="O35" s="28"/>
      <c r="P35" s="28"/>
      <c r="X35"/>
      <c r="AF35" s="51">
        <v>32</v>
      </c>
      <c r="AG35" s="20" t="s">
        <v>61</v>
      </c>
      <c r="AH35" s="21" t="s">
        <v>66</v>
      </c>
      <c r="AI35" s="39"/>
      <c r="AJ35" s="28"/>
      <c r="AK35" s="20">
        <v>429</v>
      </c>
      <c r="AL35" s="28"/>
      <c r="AM35" s="29"/>
      <c r="AN35" s="29"/>
      <c r="AO35" s="31">
        <f t="shared" si="15"/>
        <v>0</v>
      </c>
      <c r="AP35" s="31"/>
      <c r="AQ35" s="32">
        <f t="shared" si="13"/>
        <v>0</v>
      </c>
      <c r="AR35" s="54">
        <v>0</v>
      </c>
    </row>
    <row r="36" spans="1:44" ht="15.75">
      <c r="X36"/>
      <c r="AF36" s="51">
        <v>33</v>
      </c>
      <c r="AG36" s="20" t="s">
        <v>61</v>
      </c>
      <c r="AH36" s="21" t="s">
        <v>67</v>
      </c>
      <c r="AI36" s="39"/>
      <c r="AJ36" s="28"/>
      <c r="AK36" s="20">
        <v>100</v>
      </c>
      <c r="AL36" s="28"/>
      <c r="AM36" s="29"/>
      <c r="AN36" s="29"/>
      <c r="AO36" s="31">
        <f t="shared" si="15"/>
        <v>0</v>
      </c>
      <c r="AP36" s="31"/>
      <c r="AQ36" s="32">
        <f t="shared" si="13"/>
        <v>0</v>
      </c>
      <c r="AR36" s="54">
        <v>0</v>
      </c>
    </row>
    <row r="37" spans="1:44" ht="15.75">
      <c r="X37"/>
      <c r="AF37" s="51">
        <v>34</v>
      </c>
      <c r="AG37" s="20" t="s">
        <v>61</v>
      </c>
      <c r="AH37" s="21" t="s">
        <v>43</v>
      </c>
      <c r="AI37" s="39"/>
      <c r="AJ37" s="28"/>
      <c r="AK37" s="52"/>
      <c r="AL37" s="28"/>
      <c r="AM37" s="29"/>
      <c r="AN37" s="29"/>
      <c r="AO37" s="31">
        <f t="shared" si="15"/>
        <v>0</v>
      </c>
      <c r="AP37" s="31"/>
      <c r="AQ37" s="32">
        <f t="shared" si="13"/>
        <v>0</v>
      </c>
      <c r="AR37" s="54">
        <v>0</v>
      </c>
    </row>
    <row r="38" spans="1:44">
      <c r="X38"/>
      <c r="AF38" s="53"/>
      <c r="AG38" s="20"/>
      <c r="AH38" s="28"/>
      <c r="AI38" s="40"/>
      <c r="AJ38" s="28"/>
      <c r="AK38" s="52"/>
      <c r="AL38" s="28"/>
      <c r="AM38" s="29"/>
      <c r="AN38" s="29"/>
      <c r="AO38" s="42">
        <f>SUM(AO4:AO37)</f>
        <v>22383.4</v>
      </c>
      <c r="AP38" s="42"/>
      <c r="AQ38" s="52">
        <f>SUM(AQ4:AQ37)</f>
        <v>3278.2835497835499</v>
      </c>
      <c r="AR38" s="54">
        <f t="shared" ref="AR38" si="16">AO38/AQ38</f>
        <v>6.8277803491030769</v>
      </c>
    </row>
    <row r="39" spans="1:44">
      <c r="X39"/>
      <c r="AF39" s="35"/>
      <c r="AG39" s="35"/>
      <c r="AH39" s="35"/>
      <c r="AI39" s="35"/>
      <c r="AJ39" s="35"/>
      <c r="AK39" s="35"/>
      <c r="AL39" s="35"/>
      <c r="AM39" s="35"/>
      <c r="AO39" s="43">
        <f>AA38-AO38</f>
        <v>-22383.4</v>
      </c>
    </row>
    <row r="40" spans="1:44">
      <c r="X40"/>
      <c r="AF40" s="35"/>
      <c r="AG40" s="35"/>
      <c r="AH40" s="35"/>
      <c r="AI40" s="35"/>
      <c r="AJ40" s="35"/>
      <c r="AK40" s="35"/>
      <c r="AL40" s="35"/>
      <c r="AM40" s="35"/>
    </row>
    <row r="41" spans="1:44">
      <c r="X41"/>
      <c r="AF41" s="35"/>
      <c r="AG41" s="35"/>
      <c r="AH41" s="35"/>
      <c r="AI41" s="35"/>
      <c r="AJ41" s="35"/>
      <c r="AK41" s="35"/>
      <c r="AL41" s="35"/>
      <c r="AM41" s="35"/>
    </row>
    <row r="42" spans="1:44">
      <c r="AA42" s="43"/>
      <c r="AB42" s="43"/>
      <c r="AF42" s="35"/>
      <c r="AG42" s="35"/>
      <c r="AH42" s="35"/>
      <c r="AI42" s="35"/>
      <c r="AJ42" s="35"/>
      <c r="AK42" s="35"/>
      <c r="AL42" s="35"/>
      <c r="AM42" s="35"/>
    </row>
    <row r="43" spans="1:44">
      <c r="AA43" s="43"/>
      <c r="AB43" s="43"/>
      <c r="AF43" s="35"/>
      <c r="AG43" s="35"/>
      <c r="AH43" s="35"/>
      <c r="AI43" s="35"/>
      <c r="AJ43" s="35"/>
      <c r="AK43" s="35"/>
      <c r="AL43" s="35"/>
      <c r="AM43" s="35"/>
    </row>
    <row r="44" spans="1:44">
      <c r="AA44" s="43"/>
      <c r="AB44" s="43"/>
      <c r="AF44" s="35"/>
      <c r="AG44" s="35"/>
      <c r="AH44" s="35"/>
      <c r="AI44" s="35"/>
      <c r="AJ44" s="35"/>
      <c r="AK44" s="35"/>
      <c r="AL44" s="35"/>
      <c r="AM44" s="35"/>
    </row>
    <row r="45" spans="1:44">
      <c r="AA45" s="43"/>
      <c r="AB45" s="43"/>
      <c r="AC45" s="43"/>
      <c r="AD45" s="43"/>
      <c r="AE45" s="43"/>
    </row>
    <row r="51" spans="27:28">
      <c r="AA51" s="49"/>
      <c r="AB51" s="49"/>
    </row>
  </sheetData>
  <mergeCells count="6">
    <mergeCell ref="R1:AC1"/>
    <mergeCell ref="A1:P1"/>
    <mergeCell ref="D2:E2"/>
    <mergeCell ref="F2:G2"/>
    <mergeCell ref="H2:I2"/>
    <mergeCell ref="J2:K2"/>
  </mergeCells>
  <pageMargins left="0.25" right="0.25" top="0.75" bottom="0.75" header="0.3" footer="0.3"/>
  <pageSetup paperSize="9" scale="93" orientation="landscape" r:id="rId1"/>
  <colBreaks count="1" manualBreakCount="1">
    <brk id="31" max="39" man="1"/>
  </colBreaks>
  <ignoredErrors>
    <ignoredError sqref="AB9 O9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4472-E641-48CC-B915-8178AFB389A2}">
  <sheetPr>
    <pageSetUpPr fitToPage="1"/>
  </sheetPr>
  <dimension ref="A1:P92"/>
  <sheetViews>
    <sheetView topLeftCell="A70" zoomScaleNormal="100" workbookViewId="0">
      <selection activeCell="J49" sqref="J49"/>
    </sheetView>
  </sheetViews>
  <sheetFormatPr defaultRowHeight="15"/>
  <cols>
    <col min="1" max="1" width="26" bestFit="1" customWidth="1"/>
    <col min="2" max="2" width="17.28515625" bestFit="1" customWidth="1"/>
    <col min="3" max="3" width="18" bestFit="1" customWidth="1"/>
    <col min="4" max="4" width="11.5703125" bestFit="1" customWidth="1"/>
    <col min="5" max="5" width="33.5703125" bestFit="1" customWidth="1"/>
    <col min="6" max="6" width="17.28515625" bestFit="1" customWidth="1"/>
    <col min="7" max="7" width="21.140625" bestFit="1" customWidth="1"/>
    <col min="8" max="8" width="9.28515625" customWidth="1"/>
    <col min="9" max="9" width="9.140625" hidden="1" customWidth="1"/>
    <col min="10" max="10" width="26" bestFit="1" customWidth="1"/>
    <col min="11" max="11" width="17.28515625" bestFit="1" customWidth="1"/>
    <col min="12" max="12" width="18" bestFit="1" customWidth="1"/>
    <col min="14" max="14" width="26" bestFit="1" customWidth="1"/>
    <col min="15" max="15" width="17.28515625" bestFit="1" customWidth="1"/>
    <col min="16" max="16" width="18" bestFit="1" customWidth="1"/>
    <col min="18" max="18" width="26" bestFit="1" customWidth="1"/>
    <col min="19" max="19" width="12.42578125" bestFit="1" customWidth="1"/>
    <col min="20" max="20" width="12.85546875" bestFit="1" customWidth="1"/>
  </cols>
  <sheetData>
    <row r="1" spans="1:16" ht="21">
      <c r="A1" s="294" t="s">
        <v>169</v>
      </c>
      <c r="B1" s="294"/>
      <c r="C1" s="294"/>
      <c r="D1" s="264"/>
      <c r="E1" s="294" t="s">
        <v>194</v>
      </c>
      <c r="F1" s="294"/>
      <c r="G1" s="294"/>
      <c r="H1" s="264"/>
      <c r="I1" s="249"/>
      <c r="J1" s="294" t="s">
        <v>172</v>
      </c>
      <c r="K1" s="294"/>
      <c r="L1" s="294"/>
      <c r="M1" s="249"/>
      <c r="N1" s="294" t="s">
        <v>173</v>
      </c>
      <c r="O1" s="294"/>
      <c r="P1" s="294"/>
    </row>
    <row r="2" spans="1:16" ht="21" customHeight="1">
      <c r="A2" s="108"/>
      <c r="B2" s="289" t="s">
        <v>170</v>
      </c>
      <c r="C2" s="290"/>
      <c r="D2" s="264"/>
      <c r="E2" s="108"/>
      <c r="F2" s="289" t="s">
        <v>174</v>
      </c>
      <c r="G2" s="290"/>
      <c r="H2" s="264"/>
      <c r="I2" s="249"/>
      <c r="J2" s="108"/>
      <c r="K2" s="289" t="s">
        <v>174</v>
      </c>
      <c r="L2" s="290"/>
      <c r="M2" s="249"/>
      <c r="N2" s="108"/>
      <c r="O2" s="289" t="s">
        <v>174</v>
      </c>
      <c r="P2" s="290"/>
    </row>
    <row r="3" spans="1:16" ht="21">
      <c r="A3" s="250" t="s">
        <v>3</v>
      </c>
      <c r="B3" s="250" t="s">
        <v>4</v>
      </c>
      <c r="C3" s="250" t="s">
        <v>111</v>
      </c>
      <c r="D3" s="264"/>
      <c r="E3" s="250" t="s">
        <v>3</v>
      </c>
      <c r="F3" s="250" t="s">
        <v>4</v>
      </c>
      <c r="G3" s="250" t="s">
        <v>111</v>
      </c>
      <c r="H3" s="264"/>
      <c r="I3" s="249"/>
      <c r="J3" s="250" t="s">
        <v>3</v>
      </c>
      <c r="K3" s="250" t="s">
        <v>4</v>
      </c>
      <c r="L3" s="250" t="s">
        <v>111</v>
      </c>
      <c r="M3" s="249"/>
      <c r="N3" s="250" t="s">
        <v>3</v>
      </c>
      <c r="O3" s="250" t="s">
        <v>4</v>
      </c>
      <c r="P3" s="250" t="s">
        <v>111</v>
      </c>
    </row>
    <row r="4" spans="1:16" ht="21">
      <c r="A4" s="251" t="s">
        <v>14</v>
      </c>
      <c r="B4" s="250">
        <f>13195+4000+11000+9550+11070+8280+755</f>
        <v>57850</v>
      </c>
      <c r="C4" s="250"/>
      <c r="D4" s="264"/>
      <c r="E4" s="251" t="s">
        <v>14</v>
      </c>
      <c r="F4" s="250">
        <f>9005+2495+7120</f>
        <v>18620</v>
      </c>
      <c r="G4" s="250"/>
      <c r="H4" s="265"/>
      <c r="I4" s="249"/>
      <c r="J4" s="251" t="s">
        <v>14</v>
      </c>
      <c r="K4" s="250">
        <f>1000+2093+555+2690+1485+800+3400+4760+2627</f>
        <v>19410</v>
      </c>
      <c r="L4" s="250"/>
      <c r="M4" s="249"/>
      <c r="N4" s="251" t="s">
        <v>14</v>
      </c>
      <c r="O4" s="250">
        <f>7915+3710+5560+8865+700+9985+2610+5785+8615+4870+2055+4985+6975+3105+350+6640+8410+9223+10000+8390+6398+8440+6815+8170+9880+8870+6300+10910+8060+3855+13195</f>
        <v>209641</v>
      </c>
      <c r="P4" s="250"/>
    </row>
    <row r="5" spans="1:16" ht="21">
      <c r="A5" s="251" t="s">
        <v>15</v>
      </c>
      <c r="B5" s="250">
        <v>0</v>
      </c>
      <c r="C5" s="250"/>
      <c r="D5" s="264"/>
      <c r="E5" s="251" t="s">
        <v>15</v>
      </c>
      <c r="F5" s="250">
        <v>0</v>
      </c>
      <c r="G5" s="250"/>
      <c r="H5" s="265"/>
      <c r="I5" s="249"/>
      <c r="J5" s="251" t="s">
        <v>15</v>
      </c>
      <c r="K5" s="250">
        <f>1200+320+400</f>
        <v>1920</v>
      </c>
      <c r="L5" s="250"/>
      <c r="M5" s="249"/>
      <c r="N5" s="251" t="s">
        <v>15</v>
      </c>
      <c r="O5" s="250">
        <f>250+600+700</f>
        <v>1550</v>
      </c>
      <c r="P5" s="250">
        <v>14</v>
      </c>
    </row>
    <row r="6" spans="1:16" ht="21">
      <c r="A6" s="253" t="s">
        <v>16</v>
      </c>
      <c r="B6" s="250">
        <v>0</v>
      </c>
      <c r="C6" s="250"/>
      <c r="D6" s="265"/>
      <c r="E6" s="253" t="s">
        <v>16</v>
      </c>
      <c r="F6" s="250">
        <v>37</v>
      </c>
      <c r="G6" s="250"/>
      <c r="H6" s="265"/>
      <c r="I6" s="249"/>
      <c r="J6" s="253" t="s">
        <v>16</v>
      </c>
      <c r="K6" s="250">
        <v>0</v>
      </c>
      <c r="L6" s="250"/>
      <c r="M6" s="249"/>
      <c r="N6" s="253" t="s">
        <v>16</v>
      </c>
      <c r="O6" s="250">
        <v>35</v>
      </c>
      <c r="P6" s="250">
        <v>1</v>
      </c>
    </row>
    <row r="7" spans="1:16" ht="21">
      <c r="A7" s="251" t="s">
        <v>17</v>
      </c>
      <c r="B7" s="250">
        <v>0</v>
      </c>
      <c r="C7" s="250"/>
      <c r="D7" s="265"/>
      <c r="E7" s="251" t="s">
        <v>17</v>
      </c>
      <c r="F7" s="250">
        <v>0</v>
      </c>
      <c r="G7" s="250"/>
      <c r="H7" s="265"/>
      <c r="I7" s="249"/>
      <c r="J7" s="251" t="s">
        <v>17</v>
      </c>
      <c r="K7" s="250">
        <v>0</v>
      </c>
      <c r="L7" s="250"/>
      <c r="M7" s="249"/>
      <c r="N7" s="251" t="s">
        <v>17</v>
      </c>
      <c r="O7" s="250">
        <v>0</v>
      </c>
      <c r="P7" s="250"/>
    </row>
    <row r="8" spans="1:16" ht="15" customHeight="1">
      <c r="A8" s="251" t="s">
        <v>18</v>
      </c>
      <c r="B8" s="250">
        <f>200</f>
        <v>200</v>
      </c>
      <c r="C8" s="250"/>
      <c r="D8" s="265"/>
      <c r="E8" s="251" t="s">
        <v>18</v>
      </c>
      <c r="F8" s="250"/>
      <c r="G8" s="250"/>
      <c r="H8" s="265"/>
      <c r="I8" s="249"/>
      <c r="J8" s="251" t="s">
        <v>18</v>
      </c>
      <c r="K8" s="250">
        <v>0</v>
      </c>
      <c r="L8" s="250"/>
      <c r="M8" s="249"/>
      <c r="N8" s="251" t="s">
        <v>18</v>
      </c>
      <c r="O8" s="250">
        <f>235+200</f>
        <v>435</v>
      </c>
      <c r="P8" s="250"/>
    </row>
    <row r="9" spans="1:16" ht="21">
      <c r="A9" s="251" t="s">
        <v>19</v>
      </c>
      <c r="B9" s="250">
        <f>90+120+120+120+300+300+300</f>
        <v>1350</v>
      </c>
      <c r="C9" s="250"/>
      <c r="D9" s="265"/>
      <c r="E9" s="251" t="s">
        <v>19</v>
      </c>
      <c r="F9" s="250">
        <v>60</v>
      </c>
      <c r="G9" s="250"/>
      <c r="H9" s="265"/>
      <c r="I9" s="249"/>
      <c r="J9" s="251" t="s">
        <v>19</v>
      </c>
      <c r="K9" s="250">
        <v>0</v>
      </c>
      <c r="L9" s="250"/>
      <c r="M9" s="249"/>
      <c r="N9" s="251" t="s">
        <v>19</v>
      </c>
      <c r="O9" s="250">
        <f>220+100+120+120+100+100+200+90</f>
        <v>1050</v>
      </c>
      <c r="P9" s="250"/>
    </row>
    <row r="10" spans="1:16" ht="21">
      <c r="A10" s="254" t="s">
        <v>20</v>
      </c>
      <c r="B10" s="250">
        <f>100+200+200</f>
        <v>500</v>
      </c>
      <c r="C10" s="250"/>
      <c r="D10" s="265"/>
      <c r="E10" s="254" t="s">
        <v>20</v>
      </c>
      <c r="F10" s="250">
        <v>0</v>
      </c>
      <c r="G10" s="250"/>
      <c r="H10" s="265"/>
      <c r="I10" s="249"/>
      <c r="J10" s="254" t="s">
        <v>20</v>
      </c>
      <c r="K10" s="250">
        <f>240+40</f>
        <v>280</v>
      </c>
      <c r="L10" s="250"/>
      <c r="M10" s="249"/>
      <c r="N10" s="254" t="s">
        <v>20</v>
      </c>
      <c r="O10" s="250">
        <f>100</f>
        <v>100</v>
      </c>
      <c r="P10" s="250"/>
    </row>
    <row r="11" spans="1:16" ht="21">
      <c r="A11" s="254" t="s">
        <v>22</v>
      </c>
      <c r="B11" s="250">
        <f>250+200+100</f>
        <v>550</v>
      </c>
      <c r="C11" s="250"/>
      <c r="D11" s="265"/>
      <c r="E11" s="254" t="s">
        <v>22</v>
      </c>
      <c r="F11" s="250">
        <v>0</v>
      </c>
      <c r="G11" s="250"/>
      <c r="H11" s="265"/>
      <c r="I11" s="249"/>
      <c r="J11" s="254" t="s">
        <v>22</v>
      </c>
      <c r="K11" s="250">
        <f>360+135</f>
        <v>495</v>
      </c>
      <c r="L11" s="250"/>
      <c r="M11" s="249"/>
      <c r="N11" s="254" t="s">
        <v>22</v>
      </c>
      <c r="O11" s="250">
        <f>215+250</f>
        <v>465</v>
      </c>
      <c r="P11" s="250"/>
    </row>
    <row r="12" spans="1:16" ht="21">
      <c r="A12" s="254" t="s">
        <v>23</v>
      </c>
      <c r="B12" s="250">
        <f>80+160+60+110</f>
        <v>410</v>
      </c>
      <c r="C12" s="250"/>
      <c r="D12" s="265"/>
      <c r="E12" s="254" t="s">
        <v>23</v>
      </c>
      <c r="F12" s="250">
        <v>0</v>
      </c>
      <c r="G12" s="250"/>
      <c r="H12" s="265"/>
      <c r="I12" s="249"/>
      <c r="J12" s="254" t="s">
        <v>23</v>
      </c>
      <c r="K12" s="250">
        <v>0</v>
      </c>
      <c r="L12" s="250"/>
      <c r="M12" s="249"/>
      <c r="N12" s="254" t="s">
        <v>23</v>
      </c>
      <c r="O12" s="250">
        <f>32+80</f>
        <v>112</v>
      </c>
      <c r="P12" s="250"/>
    </row>
    <row r="13" spans="1:16" ht="21">
      <c r="A13" s="254" t="s">
        <v>25</v>
      </c>
      <c r="B13" s="250">
        <v>0</v>
      </c>
      <c r="C13" s="250"/>
      <c r="D13" s="265"/>
      <c r="E13" s="254" t="s">
        <v>25</v>
      </c>
      <c r="F13" s="250">
        <v>0</v>
      </c>
      <c r="G13" s="250"/>
      <c r="H13" s="265"/>
      <c r="I13" s="249"/>
      <c r="J13" s="254" t="s">
        <v>25</v>
      </c>
      <c r="K13" s="250">
        <v>340</v>
      </c>
      <c r="L13" s="250"/>
      <c r="M13" s="249"/>
      <c r="N13" s="254" t="s">
        <v>25</v>
      </c>
      <c r="O13" s="250">
        <v>0</v>
      </c>
      <c r="P13" s="250"/>
    </row>
    <row r="14" spans="1:16" ht="21">
      <c r="A14" s="254" t="s">
        <v>26</v>
      </c>
      <c r="B14" s="250">
        <f>1190+620+700+510+580+1850+1000</f>
        <v>6450</v>
      </c>
      <c r="C14" s="250"/>
      <c r="D14" s="265"/>
      <c r="E14" s="254" t="s">
        <v>26</v>
      </c>
      <c r="F14" s="250">
        <f>300+300</f>
        <v>600</v>
      </c>
      <c r="G14" s="250"/>
      <c r="H14" s="265"/>
      <c r="I14" s="249"/>
      <c r="J14" s="254" t="s">
        <v>26</v>
      </c>
      <c r="K14" s="250">
        <f>170+270+720</f>
        <v>1160</v>
      </c>
      <c r="L14" s="250"/>
      <c r="M14" s="249"/>
      <c r="N14" s="254" t="s">
        <v>26</v>
      </c>
      <c r="O14" s="250">
        <f>250+280+300+300+100+380+400+300+462+315+300+350+200+400+430+180+100+500+1190</f>
        <v>6737</v>
      </c>
      <c r="P14" s="250"/>
    </row>
    <row r="15" spans="1:16" ht="21">
      <c r="A15" s="254" t="s">
        <v>71</v>
      </c>
      <c r="B15" s="250">
        <v>0</v>
      </c>
      <c r="C15" s="250"/>
      <c r="D15" s="265"/>
      <c r="E15" s="254" t="s">
        <v>71</v>
      </c>
      <c r="F15" s="250">
        <v>0</v>
      </c>
      <c r="G15" s="250"/>
      <c r="H15" s="265"/>
      <c r="I15" s="249"/>
      <c r="J15" s="254" t="s">
        <v>71</v>
      </c>
      <c r="K15" s="250">
        <v>0</v>
      </c>
      <c r="L15" s="250"/>
      <c r="M15" s="249"/>
      <c r="N15" s="254" t="s">
        <v>71</v>
      </c>
      <c r="O15" s="250">
        <v>0</v>
      </c>
      <c r="P15" s="250"/>
    </row>
    <row r="16" spans="1:16" ht="21">
      <c r="A16" s="251" t="s">
        <v>27</v>
      </c>
      <c r="B16" s="250">
        <v>0</v>
      </c>
      <c r="C16" s="250"/>
      <c r="D16" s="265"/>
      <c r="E16" s="251" t="s">
        <v>27</v>
      </c>
      <c r="F16" s="250">
        <v>0</v>
      </c>
      <c r="G16" s="250"/>
      <c r="H16" s="265"/>
      <c r="I16" s="249"/>
      <c r="J16" s="251" t="s">
        <v>27</v>
      </c>
      <c r="K16" s="250">
        <v>0</v>
      </c>
      <c r="L16" s="250"/>
      <c r="M16" s="249"/>
      <c r="N16" s="251" t="s">
        <v>27</v>
      </c>
      <c r="O16" s="250">
        <v>50</v>
      </c>
      <c r="P16" s="250"/>
    </row>
    <row r="17" spans="1:16" ht="21">
      <c r="A17" s="253" t="s">
        <v>28</v>
      </c>
      <c r="B17" s="250">
        <f>830+2300+1000+890+1300+2500+700</f>
        <v>9520</v>
      </c>
      <c r="C17" s="250"/>
      <c r="D17" s="265"/>
      <c r="E17" s="253" t="s">
        <v>28</v>
      </c>
      <c r="F17" s="250">
        <f>750+1500</f>
        <v>2250</v>
      </c>
      <c r="G17" s="250"/>
      <c r="H17" s="265"/>
      <c r="I17" s="249"/>
      <c r="J17" s="253" t="s">
        <v>28</v>
      </c>
      <c r="K17" s="250">
        <f>400+500+300+500+400+1215+255+1000+500</f>
        <v>5070</v>
      </c>
      <c r="L17" s="250"/>
      <c r="M17" s="249"/>
      <c r="N17" s="253" t="s">
        <v>28</v>
      </c>
      <c r="O17" s="250">
        <f>700+1000+400+2000+2500+600+300+300+300+400+400+300+2000+60+280+280+500+2000+830</f>
        <v>15150</v>
      </c>
      <c r="P17" s="250"/>
    </row>
    <row r="18" spans="1:16" ht="21">
      <c r="A18" s="253" t="s">
        <v>29</v>
      </c>
      <c r="B18" s="250">
        <v>0</v>
      </c>
      <c r="C18" s="250"/>
      <c r="D18" s="265"/>
      <c r="E18" s="253" t="s">
        <v>29</v>
      </c>
      <c r="F18" s="250">
        <v>0</v>
      </c>
      <c r="G18" s="250"/>
      <c r="H18" s="265"/>
      <c r="I18" s="249"/>
      <c r="J18" s="253" t="s">
        <v>29</v>
      </c>
      <c r="K18" s="250">
        <v>0</v>
      </c>
      <c r="L18" s="250"/>
      <c r="M18" s="249"/>
      <c r="N18" s="253" t="s">
        <v>29</v>
      </c>
      <c r="O18" s="250">
        <v>0</v>
      </c>
      <c r="P18" s="250"/>
    </row>
    <row r="19" spans="1:16" ht="21">
      <c r="A19" s="253" t="s">
        <v>30</v>
      </c>
      <c r="B19" s="250">
        <f>2930+2000+1500+2750+1100+3000+320</f>
        <v>13600</v>
      </c>
      <c r="C19" s="250"/>
      <c r="D19" s="265"/>
      <c r="E19" s="253" t="s">
        <v>30</v>
      </c>
      <c r="F19" s="250">
        <f>1000+2000</f>
        <v>3000</v>
      </c>
      <c r="G19" s="250"/>
      <c r="H19" s="265"/>
      <c r="I19" s="249"/>
      <c r="J19" s="253" t="s">
        <v>30</v>
      </c>
      <c r="K19" s="250">
        <f>785+1000+580+600+850+500+200+200</f>
        <v>4715</v>
      </c>
      <c r="L19" s="250"/>
      <c r="M19" s="249"/>
      <c r="N19" s="253" t="s">
        <v>30</v>
      </c>
      <c r="O19" s="250">
        <f>250+120+400+1980+220+1140+1220+1800+1800+1000+500+880+1300+500+300+450+2200+2200+500+1500+2930</f>
        <v>23190</v>
      </c>
      <c r="P19" s="250"/>
    </row>
    <row r="20" spans="1:16" ht="21">
      <c r="A20" s="253" t="s">
        <v>31</v>
      </c>
      <c r="B20" s="250">
        <f>1800+2200+1540+1000+900+2495+1000</f>
        <v>10935</v>
      </c>
      <c r="C20" s="250"/>
      <c r="D20" s="265"/>
      <c r="E20" s="253" t="s">
        <v>31</v>
      </c>
      <c r="F20" s="250">
        <f>500+700</f>
        <v>1200</v>
      </c>
      <c r="G20" s="250"/>
      <c r="H20" s="265"/>
      <c r="I20" s="249"/>
      <c r="J20" s="253" t="s">
        <v>31</v>
      </c>
      <c r="K20" s="250">
        <f>250+200+400+300+600</f>
        <v>1750</v>
      </c>
      <c r="L20" s="250"/>
      <c r="M20" s="249"/>
      <c r="N20" s="253" t="s">
        <v>31</v>
      </c>
      <c r="O20" s="250">
        <f>200+150+280+100+300+1000+1000+800+1160+500+1000+300+520+340+1000+650+650+200+300+1800</f>
        <v>12250</v>
      </c>
      <c r="P20" s="250"/>
    </row>
    <row r="21" spans="1:16" ht="21">
      <c r="A21" s="253" t="s">
        <v>72</v>
      </c>
      <c r="B21" s="250">
        <v>0</v>
      </c>
      <c r="C21" s="250"/>
      <c r="D21" s="265"/>
      <c r="E21" s="253" t="s">
        <v>72</v>
      </c>
      <c r="F21" s="250">
        <v>0</v>
      </c>
      <c r="G21" s="250"/>
      <c r="H21" s="265"/>
      <c r="I21" s="249"/>
      <c r="J21" s="253" t="s">
        <v>72</v>
      </c>
      <c r="K21" s="250">
        <v>0</v>
      </c>
      <c r="L21" s="250"/>
      <c r="M21" s="249"/>
      <c r="N21" s="253" t="s">
        <v>72</v>
      </c>
      <c r="O21" s="250">
        <v>0</v>
      </c>
      <c r="P21" s="250"/>
    </row>
    <row r="22" spans="1:16" ht="21">
      <c r="A22" s="266" t="s">
        <v>73</v>
      </c>
      <c r="B22" s="250">
        <v>0</v>
      </c>
      <c r="C22" s="250"/>
      <c r="D22" s="265"/>
      <c r="E22" s="266" t="s">
        <v>73</v>
      </c>
      <c r="F22" s="250">
        <v>0</v>
      </c>
      <c r="G22" s="250"/>
      <c r="H22" s="265"/>
      <c r="I22" s="249"/>
      <c r="J22" s="266" t="s">
        <v>73</v>
      </c>
      <c r="K22" s="250">
        <v>0</v>
      </c>
      <c r="L22" s="250"/>
      <c r="M22" s="249"/>
      <c r="N22" s="266" t="s">
        <v>73</v>
      </c>
      <c r="O22" s="250">
        <v>0</v>
      </c>
      <c r="P22" s="250"/>
    </row>
    <row r="23" spans="1:16" ht="21">
      <c r="A23" s="253" t="s">
        <v>32</v>
      </c>
      <c r="B23" s="250">
        <v>0</v>
      </c>
      <c r="C23" s="250"/>
      <c r="D23" s="265"/>
      <c r="E23" s="253" t="s">
        <v>32</v>
      </c>
      <c r="F23" s="250">
        <v>0</v>
      </c>
      <c r="G23" s="250"/>
      <c r="H23" s="265"/>
      <c r="I23" s="249"/>
      <c r="J23" s="253" t="s">
        <v>32</v>
      </c>
      <c r="K23" s="250">
        <v>0</v>
      </c>
      <c r="L23" s="250"/>
      <c r="M23" s="249"/>
      <c r="N23" s="253" t="s">
        <v>32</v>
      </c>
      <c r="O23" s="250">
        <v>0</v>
      </c>
      <c r="P23" s="250"/>
    </row>
    <row r="24" spans="1:16" ht="21">
      <c r="A24" s="253" t="s">
        <v>33</v>
      </c>
      <c r="B24" s="250">
        <f>1490+800+890+150+400+600</f>
        <v>4330</v>
      </c>
      <c r="C24" s="250"/>
      <c r="D24" s="265"/>
      <c r="E24" s="253" t="s">
        <v>33</v>
      </c>
      <c r="F24" s="250">
        <f>410+1500</f>
        <v>1910</v>
      </c>
      <c r="G24" s="250"/>
      <c r="H24" s="265"/>
      <c r="I24" s="249"/>
      <c r="J24" s="253" t="s">
        <v>33</v>
      </c>
      <c r="K24" s="250">
        <f>500+300+230+250+410+440+200</f>
        <v>2330</v>
      </c>
      <c r="L24" s="250"/>
      <c r="M24" s="249"/>
      <c r="N24" s="253" t="s">
        <v>33</v>
      </c>
      <c r="O24" s="250">
        <f>450+400+480+1000+500+300+600+250+160+180+265+150+100+300+80+80+500+2000+1490</f>
        <v>9285</v>
      </c>
      <c r="P24" s="250"/>
    </row>
    <row r="25" spans="1:16" ht="21">
      <c r="A25" s="253" t="s">
        <v>34</v>
      </c>
      <c r="B25" s="250">
        <v>0</v>
      </c>
      <c r="C25" s="250"/>
      <c r="D25" s="265"/>
      <c r="E25" s="253" t="s">
        <v>34</v>
      </c>
      <c r="F25" s="250">
        <v>0</v>
      </c>
      <c r="G25" s="250"/>
      <c r="H25" s="265"/>
      <c r="I25" s="249"/>
      <c r="J25" s="253" t="s">
        <v>34</v>
      </c>
      <c r="K25" s="250">
        <v>0</v>
      </c>
      <c r="L25" s="250"/>
      <c r="M25" s="249"/>
      <c r="N25" s="253" t="s">
        <v>34</v>
      </c>
      <c r="O25" s="250">
        <v>0</v>
      </c>
      <c r="P25" s="250"/>
    </row>
    <row r="26" spans="1:16" ht="21">
      <c r="A26" s="253" t="s">
        <v>35</v>
      </c>
      <c r="B26" s="250">
        <v>0</v>
      </c>
      <c r="C26" s="250"/>
      <c r="D26" s="265"/>
      <c r="E26" s="253" t="s">
        <v>35</v>
      </c>
      <c r="F26" s="250">
        <v>0</v>
      </c>
      <c r="G26" s="250"/>
      <c r="H26" s="265"/>
      <c r="I26" s="249"/>
      <c r="J26" s="253" t="s">
        <v>35</v>
      </c>
      <c r="K26" s="250">
        <f>200</f>
        <v>200</v>
      </c>
      <c r="L26" s="250"/>
      <c r="M26" s="249"/>
      <c r="N26" s="253" t="s">
        <v>35</v>
      </c>
      <c r="O26" s="250">
        <v>0</v>
      </c>
      <c r="P26" s="250"/>
    </row>
    <row r="27" spans="1:16" ht="21">
      <c r="A27" s="253" t="s">
        <v>36</v>
      </c>
      <c r="B27" s="250">
        <v>0</v>
      </c>
      <c r="C27" s="250"/>
      <c r="D27" s="265"/>
      <c r="E27" s="253" t="s">
        <v>36</v>
      </c>
      <c r="F27" s="250">
        <v>0</v>
      </c>
      <c r="G27" s="250"/>
      <c r="H27" s="265"/>
      <c r="I27" s="249"/>
      <c r="J27" s="253" t="s">
        <v>36</v>
      </c>
      <c r="K27" s="250">
        <v>0</v>
      </c>
      <c r="L27" s="250"/>
      <c r="M27" s="249"/>
      <c r="N27" s="253" t="s">
        <v>36</v>
      </c>
      <c r="O27" s="250">
        <v>0</v>
      </c>
      <c r="P27" s="250"/>
    </row>
    <row r="28" spans="1:16" ht="21">
      <c r="A28" s="253" t="s">
        <v>37</v>
      </c>
      <c r="B28" s="250">
        <f>250+250+480+630+800+120</f>
        <v>2530</v>
      </c>
      <c r="C28" s="250"/>
      <c r="D28" s="265"/>
      <c r="E28" s="253" t="s">
        <v>37</v>
      </c>
      <c r="F28" s="250">
        <v>0</v>
      </c>
      <c r="G28" s="250"/>
      <c r="H28" s="265"/>
      <c r="I28" s="249"/>
      <c r="J28" s="253" t="s">
        <v>37</v>
      </c>
      <c r="K28" s="250">
        <v>0</v>
      </c>
      <c r="L28" s="250"/>
      <c r="M28" s="249"/>
      <c r="N28" s="253" t="s">
        <v>37</v>
      </c>
      <c r="O28" s="250">
        <f>350+40+1500</f>
        <v>1890</v>
      </c>
      <c r="P28" s="250"/>
    </row>
    <row r="29" spans="1:16" ht="21">
      <c r="A29" s="251" t="s">
        <v>38</v>
      </c>
      <c r="B29" s="250">
        <v>0</v>
      </c>
      <c r="C29" s="250"/>
      <c r="D29" s="265"/>
      <c r="E29" s="251" t="s">
        <v>38</v>
      </c>
      <c r="F29" s="250">
        <v>0</v>
      </c>
      <c r="G29" s="250"/>
      <c r="H29" s="265"/>
      <c r="I29" s="249"/>
      <c r="J29" s="251" t="s">
        <v>38</v>
      </c>
      <c r="K29" s="250">
        <v>0</v>
      </c>
      <c r="L29" s="250"/>
      <c r="M29" s="249"/>
      <c r="N29" s="251" t="s">
        <v>38</v>
      </c>
      <c r="O29" s="250">
        <v>0</v>
      </c>
      <c r="P29" s="250"/>
    </row>
    <row r="30" spans="1:16" ht="21">
      <c r="A30" s="251" t="s">
        <v>39</v>
      </c>
      <c r="B30" s="250">
        <f>140</f>
        <v>140</v>
      </c>
      <c r="C30" s="250"/>
      <c r="D30" s="265"/>
      <c r="E30" s="251" t="s">
        <v>39</v>
      </c>
      <c r="F30" s="250">
        <f>541</f>
        <v>541</v>
      </c>
      <c r="G30" s="250"/>
      <c r="H30" s="265"/>
      <c r="I30" s="249"/>
      <c r="J30" s="251" t="s">
        <v>39</v>
      </c>
      <c r="K30" s="250">
        <v>0</v>
      </c>
      <c r="L30" s="250"/>
      <c r="M30" s="249"/>
      <c r="N30" s="251" t="s">
        <v>39</v>
      </c>
      <c r="O30" s="250">
        <f>100</f>
        <v>100</v>
      </c>
      <c r="P30" s="250"/>
    </row>
    <row r="31" spans="1:16" ht="21">
      <c r="A31" s="251" t="s">
        <v>40</v>
      </c>
      <c r="B31" s="250">
        <v>0</v>
      </c>
      <c r="C31" s="250"/>
      <c r="D31" s="265"/>
      <c r="E31" s="251" t="s">
        <v>40</v>
      </c>
      <c r="F31" s="250">
        <v>0</v>
      </c>
      <c r="G31" s="250"/>
      <c r="H31" s="265"/>
      <c r="I31" s="249"/>
      <c r="J31" s="251" t="s">
        <v>40</v>
      </c>
      <c r="K31" s="250">
        <v>0</v>
      </c>
      <c r="L31" s="250"/>
      <c r="M31" s="249"/>
      <c r="N31" s="251" t="s">
        <v>40</v>
      </c>
      <c r="O31" s="250">
        <v>0</v>
      </c>
      <c r="P31" s="250"/>
    </row>
    <row r="32" spans="1:16" ht="21">
      <c r="A32" s="251" t="s">
        <v>41</v>
      </c>
      <c r="B32" s="250">
        <v>0</v>
      </c>
      <c r="C32" s="250"/>
      <c r="D32" s="265"/>
      <c r="E32" s="251" t="s">
        <v>41</v>
      </c>
      <c r="F32" s="250">
        <v>0</v>
      </c>
      <c r="G32" s="250"/>
      <c r="H32" s="265"/>
      <c r="I32" s="249"/>
      <c r="J32" s="251" t="s">
        <v>41</v>
      </c>
      <c r="K32" s="250">
        <v>0</v>
      </c>
      <c r="L32" s="250"/>
      <c r="M32" s="249"/>
      <c r="N32" s="251" t="s">
        <v>41</v>
      </c>
      <c r="O32" s="250">
        <v>0</v>
      </c>
      <c r="P32" s="250"/>
    </row>
    <row r="33" spans="1:16" ht="21">
      <c r="A33" s="251" t="s">
        <v>42</v>
      </c>
      <c r="B33" s="250">
        <f>300+100+100+300</f>
        <v>800</v>
      </c>
      <c r="C33" s="250"/>
      <c r="D33" s="265"/>
      <c r="E33" s="251" t="s">
        <v>42</v>
      </c>
      <c r="F33" s="250">
        <f>482+56</f>
        <v>538</v>
      </c>
      <c r="G33" s="250"/>
      <c r="H33" s="265"/>
      <c r="I33" s="249"/>
      <c r="J33" s="251" t="s">
        <v>42</v>
      </c>
      <c r="K33" s="250">
        <f>700+20+200+800+500</f>
        <v>2220</v>
      </c>
      <c r="L33" s="250"/>
      <c r="M33" s="249"/>
      <c r="N33" s="251" t="s">
        <v>42</v>
      </c>
      <c r="O33" s="250">
        <f>25+75+50+75+100+350+250+100+160+150+300+200+200+50+200+300</f>
        <v>2585</v>
      </c>
      <c r="P33" s="250"/>
    </row>
    <row r="34" spans="1:16" ht="21">
      <c r="A34" s="251" t="s">
        <v>62</v>
      </c>
      <c r="B34" s="250">
        <v>0</v>
      </c>
      <c r="C34" s="250"/>
      <c r="D34" s="265"/>
      <c r="E34" s="251" t="s">
        <v>62</v>
      </c>
      <c r="F34" s="250">
        <v>0</v>
      </c>
      <c r="G34" s="250"/>
      <c r="H34" s="265"/>
      <c r="I34" s="249"/>
      <c r="J34" s="251" t="s">
        <v>62</v>
      </c>
      <c r="K34" s="250">
        <v>0</v>
      </c>
      <c r="L34" s="250"/>
      <c r="M34" s="249"/>
      <c r="N34" s="251" t="s">
        <v>62</v>
      </c>
      <c r="O34" s="250">
        <v>0</v>
      </c>
      <c r="P34" s="250"/>
    </row>
    <row r="35" spans="1:16" ht="21">
      <c r="A35" s="251" t="s">
        <v>63</v>
      </c>
      <c r="B35" s="250">
        <v>0</v>
      </c>
      <c r="C35" s="250"/>
      <c r="D35" s="265"/>
      <c r="E35" s="251" t="s">
        <v>63</v>
      </c>
      <c r="F35" s="250">
        <v>0</v>
      </c>
      <c r="G35" s="250"/>
      <c r="H35" s="265"/>
      <c r="I35" s="249"/>
      <c r="J35" s="251" t="s">
        <v>63</v>
      </c>
      <c r="K35" s="250">
        <v>0</v>
      </c>
      <c r="L35" s="250"/>
      <c r="M35" s="249"/>
      <c r="N35" s="251" t="s">
        <v>63</v>
      </c>
      <c r="O35" s="250">
        <v>0</v>
      </c>
      <c r="P35" s="250"/>
    </row>
    <row r="36" spans="1:16" ht="21">
      <c r="A36" s="251" t="s">
        <v>64</v>
      </c>
      <c r="B36" s="250">
        <v>0</v>
      </c>
      <c r="C36" s="250"/>
      <c r="D36" s="265"/>
      <c r="E36" s="251" t="s">
        <v>64</v>
      </c>
      <c r="F36" s="250">
        <v>0</v>
      </c>
      <c r="G36" s="250"/>
      <c r="H36" s="265"/>
      <c r="I36" s="249"/>
      <c r="J36" s="251" t="s">
        <v>64</v>
      </c>
      <c r="K36" s="250">
        <v>0</v>
      </c>
      <c r="L36" s="250"/>
      <c r="M36" s="249"/>
      <c r="N36" s="251" t="s">
        <v>64</v>
      </c>
      <c r="O36" s="250">
        <v>0</v>
      </c>
      <c r="P36" s="250"/>
    </row>
    <row r="37" spans="1:16" ht="21">
      <c r="A37" s="251" t="s">
        <v>65</v>
      </c>
      <c r="B37" s="250">
        <v>0</v>
      </c>
      <c r="C37" s="250"/>
      <c r="D37" s="265"/>
      <c r="E37" s="251" t="s">
        <v>65</v>
      </c>
      <c r="F37" s="250">
        <v>0</v>
      </c>
      <c r="G37" s="250"/>
      <c r="H37" s="265"/>
      <c r="I37" s="249"/>
      <c r="J37" s="251" t="s">
        <v>65</v>
      </c>
      <c r="K37" s="250">
        <v>0</v>
      </c>
      <c r="L37" s="250"/>
      <c r="M37" s="249"/>
      <c r="N37" s="251" t="s">
        <v>65</v>
      </c>
      <c r="O37" s="250">
        <v>0</v>
      </c>
      <c r="P37" s="250"/>
    </row>
    <row r="38" spans="1:16" ht="21">
      <c r="A38" s="251" t="s">
        <v>66</v>
      </c>
      <c r="B38" s="250">
        <v>0</v>
      </c>
      <c r="C38" s="250"/>
      <c r="D38" s="265"/>
      <c r="E38" s="251" t="s">
        <v>66</v>
      </c>
      <c r="F38" s="250">
        <v>0</v>
      </c>
      <c r="G38" s="250"/>
      <c r="H38" s="265"/>
      <c r="I38" s="249"/>
      <c r="J38" s="251" t="s">
        <v>66</v>
      </c>
      <c r="K38" s="250">
        <v>0</v>
      </c>
      <c r="L38" s="250"/>
      <c r="M38" s="249"/>
      <c r="N38" s="251" t="s">
        <v>66</v>
      </c>
      <c r="O38" s="250">
        <v>0</v>
      </c>
      <c r="P38" s="250"/>
    </row>
    <row r="39" spans="1:16" ht="21">
      <c r="A39" s="251" t="s">
        <v>67</v>
      </c>
      <c r="B39" s="250">
        <v>0</v>
      </c>
      <c r="C39" s="250"/>
      <c r="D39" s="265"/>
      <c r="E39" s="251" t="s">
        <v>67</v>
      </c>
      <c r="F39" s="250">
        <v>0</v>
      </c>
      <c r="G39" s="250"/>
      <c r="H39" s="265"/>
      <c r="I39" s="249"/>
      <c r="J39" s="251" t="s">
        <v>67</v>
      </c>
      <c r="K39" s="250">
        <v>0</v>
      </c>
      <c r="L39" s="250"/>
      <c r="M39" s="249"/>
      <c r="N39" s="251" t="s">
        <v>67</v>
      </c>
      <c r="O39" s="250">
        <v>0</v>
      </c>
      <c r="P39" s="250"/>
    </row>
    <row r="40" spans="1:16" ht="21">
      <c r="A40" s="251" t="s">
        <v>43</v>
      </c>
      <c r="B40" s="250">
        <v>0</v>
      </c>
      <c r="C40" s="250"/>
      <c r="D40" s="265"/>
      <c r="E40" s="251" t="s">
        <v>43</v>
      </c>
      <c r="F40" s="250">
        <v>0</v>
      </c>
      <c r="G40" s="250"/>
      <c r="H40" s="265"/>
      <c r="I40" s="249"/>
      <c r="J40" s="251" t="s">
        <v>43</v>
      </c>
      <c r="K40" s="250">
        <f>50+70</f>
        <v>120</v>
      </c>
      <c r="L40" s="250"/>
      <c r="M40" s="249"/>
      <c r="N40" s="251" t="s">
        <v>43</v>
      </c>
      <c r="O40" s="250">
        <v>1235</v>
      </c>
      <c r="P40" s="250"/>
    </row>
    <row r="41" spans="1:16" ht="21">
      <c r="A41" s="267"/>
      <c r="B41" s="250">
        <f>SUM(B4:B40)</f>
        <v>109165</v>
      </c>
      <c r="C41" s="258"/>
      <c r="D41" s="117"/>
      <c r="E41" s="267" t="s">
        <v>110</v>
      </c>
      <c r="F41" s="250">
        <f>SUM(F4:F40)</f>
        <v>28756</v>
      </c>
      <c r="G41" s="258"/>
      <c r="H41" s="117"/>
      <c r="I41" s="249"/>
      <c r="J41" s="267" t="s">
        <v>110</v>
      </c>
      <c r="K41" s="250">
        <f>SUM(K4:K40)</f>
        <v>40010</v>
      </c>
      <c r="L41" s="258"/>
      <c r="M41" s="249"/>
      <c r="N41" s="267" t="s">
        <v>110</v>
      </c>
      <c r="O41" s="250">
        <f>SUM(O4:O40)</f>
        <v>285860</v>
      </c>
      <c r="P41" s="258"/>
    </row>
    <row r="42" spans="1:16" ht="21">
      <c r="A42" s="249"/>
      <c r="B42" s="249"/>
      <c r="C42" s="283" t="s">
        <v>195</v>
      </c>
      <c r="D42" s="284">
        <f>B41+F41</f>
        <v>137921</v>
      </c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</row>
    <row r="43" spans="1:16" ht="21">
      <c r="A43" s="249"/>
      <c r="B43" s="249"/>
      <c r="C43" s="283" t="s">
        <v>196</v>
      </c>
      <c r="D43" s="284">
        <v>40010</v>
      </c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</row>
    <row r="44" spans="1:16" ht="21">
      <c r="A44" s="249"/>
      <c r="B44" s="249"/>
      <c r="C44" s="283" t="s">
        <v>197</v>
      </c>
      <c r="D44" s="284">
        <v>285860</v>
      </c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</row>
    <row r="45" spans="1:16" ht="21">
      <c r="A45" s="249"/>
      <c r="B45" s="249"/>
      <c r="C45" s="283" t="s">
        <v>143</v>
      </c>
      <c r="D45" s="284">
        <f>SUM(D42:D44)</f>
        <v>463791</v>
      </c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</row>
    <row r="51" spans="1:7" ht="21">
      <c r="E51" s="294" t="s">
        <v>237</v>
      </c>
      <c r="F51" s="294"/>
      <c r="G51" s="294"/>
    </row>
    <row r="52" spans="1:7" ht="21">
      <c r="A52" s="294" t="s">
        <v>242</v>
      </c>
      <c r="B52" s="294"/>
      <c r="C52" s="294"/>
      <c r="E52" s="108"/>
      <c r="F52" s="289" t="s">
        <v>174</v>
      </c>
      <c r="G52" s="290"/>
    </row>
    <row r="53" spans="1:7" ht="21">
      <c r="A53" s="108"/>
      <c r="B53" s="289" t="s">
        <v>170</v>
      </c>
      <c r="C53" s="290"/>
      <c r="E53" s="250" t="s">
        <v>3</v>
      </c>
      <c r="F53" s="250" t="s">
        <v>4</v>
      </c>
      <c r="G53" s="250" t="s">
        <v>236</v>
      </c>
    </row>
    <row r="54" spans="1:7" ht="21">
      <c r="A54" s="250" t="s">
        <v>3</v>
      </c>
      <c r="B54" s="250" t="s">
        <v>4</v>
      </c>
      <c r="C54" s="250" t="s">
        <v>111</v>
      </c>
      <c r="E54" s="251" t="s">
        <v>14</v>
      </c>
      <c r="F54" s="250">
        <v>9765</v>
      </c>
      <c r="G54" s="250">
        <f>449190</f>
        <v>449190</v>
      </c>
    </row>
    <row r="55" spans="1:7" ht="21">
      <c r="A55" s="251" t="s">
        <v>14</v>
      </c>
      <c r="B55" s="250">
        <v>0</v>
      </c>
      <c r="C55" s="250"/>
      <c r="E55" s="251" t="s">
        <v>15</v>
      </c>
      <c r="F55" s="250">
        <v>300</v>
      </c>
      <c r="G55" s="250">
        <f>13800</f>
        <v>13800</v>
      </c>
    </row>
    <row r="56" spans="1:7" ht="21">
      <c r="A56" s="251" t="s">
        <v>15</v>
      </c>
      <c r="B56" s="250">
        <v>0</v>
      </c>
      <c r="C56" s="250"/>
      <c r="E56" s="253" t="s">
        <v>16</v>
      </c>
      <c r="F56" s="250">
        <v>0</v>
      </c>
      <c r="G56" s="250">
        <v>0</v>
      </c>
    </row>
    <row r="57" spans="1:7" ht="21">
      <c r="A57" s="253" t="s">
        <v>16</v>
      </c>
      <c r="B57" s="250">
        <v>0</v>
      </c>
      <c r="C57" s="250"/>
      <c r="E57" s="251" t="s">
        <v>17</v>
      </c>
      <c r="F57" s="250">
        <v>0</v>
      </c>
      <c r="G57" s="250">
        <v>0</v>
      </c>
    </row>
    <row r="58" spans="1:7" ht="21">
      <c r="A58" s="251" t="s">
        <v>17</v>
      </c>
      <c r="B58" s="250">
        <v>0</v>
      </c>
      <c r="C58" s="250"/>
      <c r="E58" s="251" t="s">
        <v>18</v>
      </c>
      <c r="F58" s="250">
        <v>0</v>
      </c>
      <c r="G58" s="250">
        <v>0</v>
      </c>
    </row>
    <row r="59" spans="1:7" ht="21">
      <c r="A59" s="251" t="s">
        <v>18</v>
      </c>
      <c r="B59" s="250">
        <v>0</v>
      </c>
      <c r="C59" s="250"/>
      <c r="E59" s="251" t="s">
        <v>19</v>
      </c>
      <c r="F59" s="250">
        <v>0</v>
      </c>
      <c r="G59" s="250">
        <v>0</v>
      </c>
    </row>
    <row r="60" spans="1:7" ht="21">
      <c r="A60" s="251" t="s">
        <v>19</v>
      </c>
      <c r="B60" s="250">
        <v>0</v>
      </c>
      <c r="C60" s="250"/>
      <c r="E60" s="254" t="s">
        <v>20</v>
      </c>
      <c r="F60" s="250">
        <v>0</v>
      </c>
      <c r="G60" s="250">
        <v>0</v>
      </c>
    </row>
    <row r="61" spans="1:7" ht="21">
      <c r="A61" s="254" t="s">
        <v>20</v>
      </c>
      <c r="B61" s="250">
        <v>0</v>
      </c>
      <c r="C61" s="250"/>
      <c r="E61" s="254" t="s">
        <v>22</v>
      </c>
      <c r="F61" s="250">
        <v>0</v>
      </c>
      <c r="G61" s="250">
        <v>0</v>
      </c>
    </row>
    <row r="62" spans="1:7" ht="21">
      <c r="A62" s="254" t="s">
        <v>22</v>
      </c>
      <c r="B62" s="250">
        <v>0</v>
      </c>
      <c r="C62" s="250"/>
      <c r="E62" s="254" t="s">
        <v>23</v>
      </c>
      <c r="F62" s="250">
        <v>0</v>
      </c>
      <c r="G62" s="250">
        <v>0</v>
      </c>
    </row>
    <row r="63" spans="1:7" ht="21">
      <c r="A63" s="254" t="s">
        <v>23</v>
      </c>
      <c r="B63" s="250">
        <v>0</v>
      </c>
      <c r="C63" s="250"/>
      <c r="E63" s="254" t="s">
        <v>25</v>
      </c>
      <c r="F63" s="250">
        <v>0</v>
      </c>
      <c r="G63" s="250">
        <v>0</v>
      </c>
    </row>
    <row r="64" spans="1:7" ht="21">
      <c r="A64" s="254" t="s">
        <v>25</v>
      </c>
      <c r="B64" s="250">
        <v>0</v>
      </c>
      <c r="C64" s="250"/>
      <c r="E64" s="254" t="s">
        <v>26</v>
      </c>
      <c r="F64" s="250">
        <v>400</v>
      </c>
      <c r="G64" s="250">
        <f>18400</f>
        <v>18400</v>
      </c>
    </row>
    <row r="65" spans="1:7" ht="21">
      <c r="A65" s="254" t="s">
        <v>26</v>
      </c>
      <c r="B65" s="250">
        <v>0</v>
      </c>
      <c r="C65" s="250"/>
      <c r="E65" s="254" t="s">
        <v>71</v>
      </c>
      <c r="F65" s="250">
        <v>0</v>
      </c>
      <c r="G65" s="250">
        <v>0</v>
      </c>
    </row>
    <row r="66" spans="1:7" ht="21">
      <c r="A66" s="254" t="s">
        <v>71</v>
      </c>
      <c r="B66" s="250">
        <v>0</v>
      </c>
      <c r="C66" s="250"/>
      <c r="E66" s="251" t="s">
        <v>27</v>
      </c>
      <c r="F66" s="250">
        <v>0</v>
      </c>
      <c r="G66" s="250">
        <v>0</v>
      </c>
    </row>
    <row r="67" spans="1:7" ht="21">
      <c r="A67" s="251" t="s">
        <v>27</v>
      </c>
      <c r="B67" s="250">
        <v>0</v>
      </c>
      <c r="C67" s="250"/>
      <c r="E67" s="253" t="s">
        <v>28</v>
      </c>
      <c r="F67" s="250">
        <v>6300</v>
      </c>
      <c r="G67" s="250">
        <f>289800</f>
        <v>289800</v>
      </c>
    </row>
    <row r="68" spans="1:7" ht="21">
      <c r="A68" s="253" t="s">
        <v>28</v>
      </c>
      <c r="B68" s="250">
        <v>0</v>
      </c>
      <c r="C68" s="250"/>
      <c r="E68" s="253" t="s">
        <v>29</v>
      </c>
      <c r="F68" s="250">
        <v>0</v>
      </c>
      <c r="G68" s="250">
        <v>0</v>
      </c>
    </row>
    <row r="69" spans="1:7" ht="21">
      <c r="A69" s="253" t="s">
        <v>29</v>
      </c>
      <c r="B69" s="250">
        <v>0</v>
      </c>
      <c r="C69" s="250"/>
      <c r="E69" s="253" t="s">
        <v>30</v>
      </c>
      <c r="F69" s="250">
        <v>2000</v>
      </c>
      <c r="G69" s="250">
        <f>92000</f>
        <v>92000</v>
      </c>
    </row>
    <row r="70" spans="1:7" ht="21">
      <c r="A70" s="253" t="s">
        <v>30</v>
      </c>
      <c r="B70" s="250">
        <v>0</v>
      </c>
      <c r="C70" s="250"/>
      <c r="E70" s="253" t="s">
        <v>31</v>
      </c>
      <c r="F70" s="250">
        <v>900</v>
      </c>
      <c r="G70" s="250">
        <f>41400</f>
        <v>41400</v>
      </c>
    </row>
    <row r="71" spans="1:7" ht="21">
      <c r="A71" s="253" t="s">
        <v>31</v>
      </c>
      <c r="B71" s="250">
        <v>0</v>
      </c>
      <c r="C71" s="250"/>
      <c r="E71" s="253" t="s">
        <v>72</v>
      </c>
      <c r="F71" s="250">
        <v>0</v>
      </c>
      <c r="G71" s="250">
        <v>0</v>
      </c>
    </row>
    <row r="72" spans="1:7" ht="21">
      <c r="A72" s="253" t="s">
        <v>72</v>
      </c>
      <c r="B72" s="250">
        <v>0</v>
      </c>
      <c r="C72" s="250"/>
      <c r="E72" s="266" t="s">
        <v>73</v>
      </c>
      <c r="F72" s="250">
        <v>0</v>
      </c>
      <c r="G72" s="250">
        <v>0</v>
      </c>
    </row>
    <row r="73" spans="1:7" ht="21">
      <c r="A73" s="266" t="s">
        <v>73</v>
      </c>
      <c r="B73" s="250">
        <v>0</v>
      </c>
      <c r="C73" s="250"/>
      <c r="E73" s="253" t="s">
        <v>32</v>
      </c>
      <c r="F73" s="250">
        <v>0</v>
      </c>
      <c r="G73" s="250">
        <v>0</v>
      </c>
    </row>
    <row r="74" spans="1:7" ht="21">
      <c r="A74" s="253" t="s">
        <v>32</v>
      </c>
      <c r="B74" s="250">
        <v>0</v>
      </c>
      <c r="C74" s="250"/>
      <c r="E74" s="253" t="s">
        <v>33</v>
      </c>
      <c r="F74" s="250">
        <v>1900</v>
      </c>
      <c r="G74" s="250">
        <f>87400</f>
        <v>87400</v>
      </c>
    </row>
    <row r="75" spans="1:7" ht="21">
      <c r="A75" s="253" t="s">
        <v>33</v>
      </c>
      <c r="B75" s="250">
        <v>0</v>
      </c>
      <c r="C75" s="250"/>
      <c r="E75" s="253" t="s">
        <v>34</v>
      </c>
      <c r="F75" s="250">
        <v>0</v>
      </c>
      <c r="G75" s="250">
        <v>0</v>
      </c>
    </row>
    <row r="76" spans="1:7" ht="21">
      <c r="A76" s="253" t="s">
        <v>34</v>
      </c>
      <c r="B76" s="250">
        <v>0</v>
      </c>
      <c r="C76" s="250"/>
      <c r="E76" s="253" t="s">
        <v>35</v>
      </c>
      <c r="F76" s="250">
        <v>0</v>
      </c>
      <c r="G76" s="250">
        <v>0</v>
      </c>
    </row>
    <row r="77" spans="1:7" ht="21">
      <c r="A77" s="253" t="s">
        <v>35</v>
      </c>
      <c r="B77" s="250">
        <v>0</v>
      </c>
      <c r="C77" s="250"/>
      <c r="E77" s="253" t="s">
        <v>36</v>
      </c>
      <c r="F77" s="250">
        <v>0</v>
      </c>
      <c r="G77" s="250">
        <v>0</v>
      </c>
    </row>
    <row r="78" spans="1:7" ht="21">
      <c r="A78" s="253" t="s">
        <v>36</v>
      </c>
      <c r="B78" s="250">
        <v>0</v>
      </c>
      <c r="C78" s="250"/>
      <c r="E78" s="253" t="s">
        <v>37</v>
      </c>
      <c r="F78" s="250">
        <v>300</v>
      </c>
      <c r="G78" s="250">
        <f>13800</f>
        <v>13800</v>
      </c>
    </row>
    <row r="79" spans="1:7" ht="21">
      <c r="A79" s="253" t="s">
        <v>37</v>
      </c>
      <c r="B79" s="250">
        <v>0</v>
      </c>
      <c r="C79" s="250"/>
      <c r="E79" s="251" t="s">
        <v>38</v>
      </c>
      <c r="F79" s="250">
        <v>0</v>
      </c>
      <c r="G79" s="250">
        <v>0</v>
      </c>
    </row>
    <row r="80" spans="1:7" ht="21">
      <c r="A80" s="251" t="s">
        <v>38</v>
      </c>
      <c r="B80" s="250">
        <v>0</v>
      </c>
      <c r="C80" s="250"/>
      <c r="E80" s="251" t="s">
        <v>39</v>
      </c>
      <c r="F80" s="250">
        <v>0</v>
      </c>
      <c r="G80" s="250">
        <v>0</v>
      </c>
    </row>
    <row r="81" spans="1:7" ht="21">
      <c r="A81" s="251" t="s">
        <v>39</v>
      </c>
      <c r="B81" s="250">
        <v>0</v>
      </c>
      <c r="C81" s="250"/>
      <c r="E81" s="251" t="s">
        <v>40</v>
      </c>
      <c r="F81" s="250">
        <v>0</v>
      </c>
      <c r="G81" s="250">
        <v>0</v>
      </c>
    </row>
    <row r="82" spans="1:7" ht="21">
      <c r="A82" s="251" t="s">
        <v>40</v>
      </c>
      <c r="B82" s="250">
        <v>0</v>
      </c>
      <c r="C82" s="250"/>
      <c r="E82" s="251" t="s">
        <v>41</v>
      </c>
      <c r="F82" s="250">
        <v>0</v>
      </c>
      <c r="G82" s="250">
        <v>0</v>
      </c>
    </row>
    <row r="83" spans="1:7" ht="21">
      <c r="A83" s="251" t="s">
        <v>41</v>
      </c>
      <c r="B83" s="250">
        <v>0</v>
      </c>
      <c r="C83" s="250"/>
      <c r="E83" s="251" t="s">
        <v>42</v>
      </c>
      <c r="F83" s="250">
        <v>0</v>
      </c>
      <c r="G83" s="250">
        <v>0</v>
      </c>
    </row>
    <row r="84" spans="1:7" ht="21">
      <c r="A84" s="251" t="s">
        <v>42</v>
      </c>
      <c r="B84" s="250">
        <v>0</v>
      </c>
      <c r="C84" s="250"/>
      <c r="E84" s="251" t="s">
        <v>62</v>
      </c>
      <c r="F84" s="250">
        <v>0</v>
      </c>
      <c r="G84" s="250">
        <v>0</v>
      </c>
    </row>
    <row r="85" spans="1:7" ht="21">
      <c r="A85" s="251" t="s">
        <v>62</v>
      </c>
      <c r="B85" s="250">
        <v>0</v>
      </c>
      <c r="C85" s="250"/>
      <c r="E85" s="251" t="s">
        <v>63</v>
      </c>
      <c r="F85" s="250">
        <v>0</v>
      </c>
      <c r="G85" s="250">
        <v>0</v>
      </c>
    </row>
    <row r="86" spans="1:7" ht="21">
      <c r="A86" s="251" t="s">
        <v>63</v>
      </c>
      <c r="B86" s="250">
        <v>0</v>
      </c>
      <c r="C86" s="250"/>
      <c r="E86" s="251" t="s">
        <v>64</v>
      </c>
      <c r="F86" s="250">
        <v>0</v>
      </c>
      <c r="G86" s="250">
        <v>0</v>
      </c>
    </row>
    <row r="87" spans="1:7" ht="21">
      <c r="A87" s="251" t="s">
        <v>64</v>
      </c>
      <c r="B87" s="250">
        <v>0</v>
      </c>
      <c r="C87" s="250"/>
      <c r="E87" s="251" t="s">
        <v>65</v>
      </c>
      <c r="F87" s="250">
        <v>0</v>
      </c>
      <c r="G87" s="250">
        <v>0</v>
      </c>
    </row>
    <row r="88" spans="1:7" ht="21">
      <c r="A88" s="251" t="s">
        <v>65</v>
      </c>
      <c r="B88" s="250">
        <v>0</v>
      </c>
      <c r="C88" s="250"/>
      <c r="E88" s="251" t="s">
        <v>66</v>
      </c>
      <c r="F88" s="250">
        <v>0</v>
      </c>
      <c r="G88" s="250">
        <v>0</v>
      </c>
    </row>
    <row r="89" spans="1:7" ht="21">
      <c r="A89" s="251" t="s">
        <v>66</v>
      </c>
      <c r="B89" s="250">
        <v>0</v>
      </c>
      <c r="C89" s="250"/>
      <c r="E89" s="251" t="s">
        <v>67</v>
      </c>
      <c r="F89" s="250">
        <v>0</v>
      </c>
      <c r="G89" s="250">
        <v>0</v>
      </c>
    </row>
    <row r="90" spans="1:7" ht="21">
      <c r="A90" s="251" t="s">
        <v>67</v>
      </c>
      <c r="B90" s="250">
        <v>0</v>
      </c>
      <c r="C90" s="250"/>
      <c r="E90" s="251" t="s">
        <v>43</v>
      </c>
      <c r="F90" s="250">
        <v>0</v>
      </c>
      <c r="G90" s="250">
        <v>0</v>
      </c>
    </row>
    <row r="91" spans="1:7" ht="21">
      <c r="A91" s="251" t="s">
        <v>43</v>
      </c>
      <c r="B91" s="250">
        <v>0</v>
      </c>
      <c r="C91" s="250"/>
      <c r="E91" s="267" t="s">
        <v>110</v>
      </c>
      <c r="F91" s="250">
        <f>SUM(F54:F90)</f>
        <v>21865</v>
      </c>
      <c r="G91" s="258">
        <f>SUM(G54:G90)</f>
        <v>1005790</v>
      </c>
    </row>
    <row r="92" spans="1:7" ht="21">
      <c r="A92" s="267"/>
      <c r="B92" s="250">
        <f>SUM(B55:B91)</f>
        <v>0</v>
      </c>
      <c r="C92" s="258"/>
    </row>
  </sheetData>
  <mergeCells count="12">
    <mergeCell ref="B53:C53"/>
    <mergeCell ref="F52:G52"/>
    <mergeCell ref="B2:C2"/>
    <mergeCell ref="A1:C1"/>
    <mergeCell ref="J1:L1"/>
    <mergeCell ref="K2:L2"/>
    <mergeCell ref="A52:C52"/>
    <mergeCell ref="N1:P1"/>
    <mergeCell ref="O2:P2"/>
    <mergeCell ref="E1:G1"/>
    <mergeCell ref="F2:G2"/>
    <mergeCell ref="E51:G51"/>
  </mergeCells>
  <phoneticPr fontId="70" type="noConversion"/>
  <pageMargins left="0.7" right="0.7" top="0.75" bottom="0.75" header="0.3" footer="0.3"/>
  <pageSetup scale="2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5772-BABB-4C07-B6EB-9D821E6ED3CC}">
  <sheetPr>
    <pageSetUpPr fitToPage="1"/>
  </sheetPr>
  <dimension ref="A1:N35"/>
  <sheetViews>
    <sheetView topLeftCell="A52" workbookViewId="0">
      <selection activeCell="D43" sqref="D43"/>
    </sheetView>
  </sheetViews>
  <sheetFormatPr defaultRowHeight="15"/>
  <cols>
    <col min="1" max="1" width="24.85546875" bestFit="1" customWidth="1"/>
    <col min="2" max="2" width="33.5703125" bestFit="1" customWidth="1"/>
    <col min="3" max="3" width="19.5703125" bestFit="1" customWidth="1"/>
    <col min="4" max="4" width="16" bestFit="1" customWidth="1"/>
    <col min="6" max="6" width="27.7109375" bestFit="1" customWidth="1"/>
    <col min="7" max="7" width="26" bestFit="1" customWidth="1"/>
    <col min="8" max="8" width="16" bestFit="1" customWidth="1"/>
    <col min="9" max="9" width="16.7109375" bestFit="1" customWidth="1"/>
    <col min="14" max="14" width="13.28515625" bestFit="1" customWidth="1"/>
  </cols>
  <sheetData>
    <row r="1" spans="1:9" ht="21">
      <c r="A1" s="249"/>
      <c r="B1" s="249"/>
      <c r="C1" s="249"/>
      <c r="D1" s="249"/>
      <c r="E1" s="249"/>
      <c r="F1" s="249"/>
      <c r="G1" s="249"/>
      <c r="H1" s="249"/>
      <c r="I1" s="249"/>
    </row>
    <row r="2" spans="1:9" ht="21" customHeight="1">
      <c r="A2" s="289" t="s">
        <v>176</v>
      </c>
      <c r="B2" s="295"/>
      <c r="C2" s="295"/>
      <c r="D2" s="290"/>
      <c r="E2" s="249"/>
      <c r="F2" s="289" t="s">
        <v>171</v>
      </c>
      <c r="G2" s="295"/>
      <c r="H2" s="295"/>
      <c r="I2" s="290"/>
    </row>
    <row r="3" spans="1:9" ht="21" customHeight="1">
      <c r="A3" s="246"/>
      <c r="B3" s="248" t="s">
        <v>175</v>
      </c>
      <c r="C3" s="248"/>
      <c r="D3" s="247"/>
      <c r="E3" s="249"/>
      <c r="F3" s="246"/>
      <c r="G3" s="248" t="s">
        <v>177</v>
      </c>
      <c r="H3" s="248"/>
      <c r="I3" s="247"/>
    </row>
    <row r="4" spans="1:9" ht="21">
      <c r="A4" s="250" t="s">
        <v>159</v>
      </c>
      <c r="B4" s="250" t="s">
        <v>3</v>
      </c>
      <c r="C4" s="250" t="s">
        <v>4</v>
      </c>
      <c r="D4" s="250" t="s">
        <v>109</v>
      </c>
      <c r="E4" s="249"/>
      <c r="F4" s="250" t="s">
        <v>159</v>
      </c>
      <c r="G4" s="250" t="s">
        <v>175</v>
      </c>
      <c r="H4" s="250" t="s">
        <v>4</v>
      </c>
      <c r="I4" s="250" t="s">
        <v>109</v>
      </c>
    </row>
    <row r="5" spans="1:9" ht="21">
      <c r="A5" s="250" t="s">
        <v>144</v>
      </c>
      <c r="B5" s="251" t="s">
        <v>14</v>
      </c>
      <c r="C5" s="252">
        <f>3665.35+56758+14973+63380.4+21970+173003+140111.68+13125+162795.58</f>
        <v>649782.01</v>
      </c>
      <c r="D5" s="252">
        <v>0</v>
      </c>
      <c r="E5" s="249"/>
      <c r="F5" s="250" t="s">
        <v>177</v>
      </c>
      <c r="G5" s="251" t="s">
        <v>14</v>
      </c>
      <c r="H5" s="252">
        <f>2633+3650+4851.99</f>
        <v>11134.99</v>
      </c>
      <c r="I5" s="252"/>
    </row>
    <row r="6" spans="1:9" ht="21">
      <c r="A6" s="250" t="s">
        <v>144</v>
      </c>
      <c r="B6" s="251" t="s">
        <v>15</v>
      </c>
      <c r="C6" s="252">
        <f>1672+14421+7562+52643+13970+15968+31081+49727</f>
        <v>187044</v>
      </c>
      <c r="D6" s="252">
        <f>88+759+398+2733+735+734+1360+3643</f>
        <v>10450</v>
      </c>
      <c r="E6" s="249"/>
      <c r="F6" s="250" t="s">
        <v>177</v>
      </c>
      <c r="G6" s="251" t="s">
        <v>15</v>
      </c>
      <c r="H6" s="252">
        <f>2470+1330+4657</f>
        <v>8457</v>
      </c>
      <c r="I6" s="252">
        <f>130+70+245</f>
        <v>445</v>
      </c>
    </row>
    <row r="7" spans="1:9" ht="21">
      <c r="A7" s="250" t="s">
        <v>144</v>
      </c>
      <c r="B7" s="251" t="s">
        <v>16</v>
      </c>
      <c r="C7" s="252">
        <f>4773+2701+1850+23421+9250+2460.5+80197+158726.6+1221+123762.3</f>
        <v>408362.39999999997</v>
      </c>
      <c r="D7" s="252">
        <f>129+73+50+633+250+66.5+2166.5+4304+3218</f>
        <v>10890</v>
      </c>
      <c r="E7" s="249"/>
      <c r="F7" s="250" t="s">
        <v>177</v>
      </c>
      <c r="G7" s="251" t="s">
        <v>16</v>
      </c>
      <c r="H7" s="252">
        <f>2590+481</f>
        <v>3071</v>
      </c>
      <c r="I7" s="252">
        <f>70+13</f>
        <v>83</v>
      </c>
    </row>
    <row r="8" spans="1:9" ht="21">
      <c r="A8" s="250" t="s">
        <v>144</v>
      </c>
      <c r="B8" s="251" t="s">
        <v>17</v>
      </c>
      <c r="C8" s="252">
        <f>1912.5+1360+1836+85+119+34+20434+4760+5494.1</f>
        <v>36034.6</v>
      </c>
      <c r="D8" s="252">
        <f>112.5+80+108+5+7+1202+297+326</f>
        <v>2137.5</v>
      </c>
      <c r="E8" s="249"/>
      <c r="F8" s="250" t="s">
        <v>177</v>
      </c>
      <c r="G8" s="251" t="s">
        <v>17</v>
      </c>
      <c r="H8" s="252">
        <v>255</v>
      </c>
      <c r="I8" s="252">
        <v>0</v>
      </c>
    </row>
    <row r="9" spans="1:9" ht="21">
      <c r="A9" s="250" t="s">
        <v>144</v>
      </c>
      <c r="B9" s="253" t="s">
        <v>18</v>
      </c>
      <c r="C9" s="252">
        <f>4870+605+9510+3240+1655+54720+41692.5+200+71791.5</f>
        <v>188284</v>
      </c>
      <c r="D9" s="252">
        <f>974+121+1902+648+1326+331+10944+7850+40+12839.5</f>
        <v>36975.5</v>
      </c>
      <c r="E9" s="249"/>
      <c r="F9" s="250" t="s">
        <v>177</v>
      </c>
      <c r="G9" s="253" t="s">
        <v>18</v>
      </c>
      <c r="H9" s="252">
        <f>680+185</f>
        <v>865</v>
      </c>
      <c r="I9" s="252">
        <f>15+37</f>
        <v>52</v>
      </c>
    </row>
    <row r="10" spans="1:9" ht="21">
      <c r="A10" s="250" t="s">
        <v>144</v>
      </c>
      <c r="B10" s="251" t="s">
        <v>19</v>
      </c>
      <c r="C10" s="252">
        <f>552+297+985+1056.6+710.4+795.6+43.8+6706+3820.78+48+6146.14</f>
        <v>21161.320000000003</v>
      </c>
      <c r="D10" s="252">
        <f>920+495+1643+1761+1184+73+6355.2+80+10974</f>
        <v>23485.200000000001</v>
      </c>
      <c r="E10" s="249"/>
      <c r="F10" s="250" t="s">
        <v>177</v>
      </c>
      <c r="G10" s="251" t="s">
        <v>19</v>
      </c>
      <c r="H10" s="252">
        <f>1.2+76.8</f>
        <v>78</v>
      </c>
      <c r="I10" s="252">
        <f>2+128</f>
        <v>130</v>
      </c>
    </row>
    <row r="11" spans="1:9" ht="21">
      <c r="A11" s="250" t="s">
        <v>144</v>
      </c>
      <c r="B11" s="254" t="s">
        <v>20</v>
      </c>
      <c r="C11" s="252">
        <f>1900+3940+650+20+480+735+395+25820+6098+90+5395.9</f>
        <v>45523.9</v>
      </c>
      <c r="D11" s="252">
        <f>380+788+130+4+96+147+79+5164+1214+18+959.18</f>
        <v>8979.18</v>
      </c>
      <c r="E11" s="249"/>
      <c r="F11" s="250" t="s">
        <v>177</v>
      </c>
      <c r="G11" s="254" t="s">
        <v>20</v>
      </c>
      <c r="H11" s="252">
        <v>190</v>
      </c>
      <c r="I11" s="252">
        <v>38</v>
      </c>
    </row>
    <row r="12" spans="1:9" ht="21">
      <c r="A12" s="250" t="s">
        <v>144</v>
      </c>
      <c r="B12" s="254" t="s">
        <v>22</v>
      </c>
      <c r="C12" s="252">
        <f>10155+650+11625+2830+245.25+1745+34250+20128+7285+8793.7</f>
        <v>97706.95</v>
      </c>
      <c r="D12" s="252">
        <f>2031+130+2325+566+49+349+6850+4031+1457+1146.74</f>
        <v>18934.740000000002</v>
      </c>
      <c r="E12" s="249"/>
      <c r="F12" s="250" t="s">
        <v>177</v>
      </c>
      <c r="G12" s="254" t="s">
        <v>22</v>
      </c>
      <c r="H12" s="252">
        <v>175</v>
      </c>
      <c r="I12" s="252">
        <v>35</v>
      </c>
    </row>
    <row r="13" spans="1:9" ht="21">
      <c r="A13" s="250" t="s">
        <v>144</v>
      </c>
      <c r="B13" s="254" t="s">
        <v>23</v>
      </c>
      <c r="C13" s="252">
        <f>82.4+1064+274+1002.4+349.6+79.2+1333+716.9+1823.2</f>
        <v>6724.7</v>
      </c>
      <c r="D13" s="252">
        <f>103+1330+343+1253+437+99+1667+941+2405</f>
        <v>8578</v>
      </c>
      <c r="E13" s="249"/>
      <c r="F13" s="250" t="s">
        <v>177</v>
      </c>
      <c r="G13" s="254" t="s">
        <v>23</v>
      </c>
      <c r="H13" s="252">
        <v>0.8</v>
      </c>
      <c r="I13" s="252">
        <v>1</v>
      </c>
    </row>
    <row r="14" spans="1:9" ht="21">
      <c r="A14" s="250" t="s">
        <v>144</v>
      </c>
      <c r="B14" s="254" t="s">
        <v>25</v>
      </c>
      <c r="C14" s="252">
        <f>55+4467.75+8336+2089+2711+1200+6455.4+7026.4</f>
        <v>32340.550000000003</v>
      </c>
      <c r="D14" s="252">
        <v>0</v>
      </c>
      <c r="E14" s="249"/>
      <c r="F14" s="250" t="s">
        <v>177</v>
      </c>
      <c r="G14" s="254" t="s">
        <v>26</v>
      </c>
      <c r="H14" s="252">
        <f>384+360+80</f>
        <v>824</v>
      </c>
      <c r="I14" s="252">
        <f>64+60</f>
        <v>124</v>
      </c>
    </row>
    <row r="15" spans="1:9" ht="21">
      <c r="A15" s="250" t="s">
        <v>144</v>
      </c>
      <c r="B15" s="254" t="s">
        <v>26</v>
      </c>
      <c r="C15" s="252">
        <f>430+5485+960+6997.56+8558+3342+31+7+18657+10212+300+8533</f>
        <v>63512.56</v>
      </c>
      <c r="D15" s="252">
        <v>0</v>
      </c>
      <c r="E15" s="249"/>
      <c r="F15" s="250" t="s">
        <v>177</v>
      </c>
      <c r="G15" s="253" t="s">
        <v>28</v>
      </c>
      <c r="H15" s="252">
        <f>425+3740+1588+187+255+170</f>
        <v>6365</v>
      </c>
      <c r="I15" s="252">
        <f>25+220+93+11+15+10</f>
        <v>374</v>
      </c>
    </row>
    <row r="16" spans="1:9" ht="21">
      <c r="A16" s="250" t="s">
        <v>144</v>
      </c>
      <c r="B16" s="251" t="s">
        <v>27</v>
      </c>
      <c r="C16" s="252">
        <f>15+67+1072+1263</f>
        <v>2417</v>
      </c>
      <c r="D16" s="252">
        <v>0</v>
      </c>
      <c r="E16" s="249"/>
      <c r="F16" s="250" t="s">
        <v>177</v>
      </c>
      <c r="G16" s="253" t="s">
        <v>30</v>
      </c>
      <c r="H16" s="252">
        <f>230+369</f>
        <v>599</v>
      </c>
      <c r="I16" s="252">
        <v>0</v>
      </c>
    </row>
    <row r="17" spans="1:14" ht="21">
      <c r="A17" s="250" t="s">
        <v>144</v>
      </c>
      <c r="B17" s="253" t="s">
        <v>28</v>
      </c>
      <c r="C17" s="252">
        <f>7743.5+11934+3570+10149+20679+6975+58446+34806+3037+92032</f>
        <v>249371.5</v>
      </c>
      <c r="D17" s="252">
        <f>455.5+702+210+597+1152+440+3711+1894.5+95+0</f>
        <v>9257</v>
      </c>
      <c r="E17" s="249"/>
      <c r="F17" s="250" t="s">
        <v>177</v>
      </c>
      <c r="G17" s="253" t="s">
        <v>31</v>
      </c>
      <c r="H17" s="252">
        <f>530+3998.44</f>
        <v>4528.4400000000005</v>
      </c>
      <c r="I17" s="252">
        <v>0</v>
      </c>
    </row>
    <row r="18" spans="1:14" ht="21">
      <c r="A18" s="250" t="s">
        <v>144</v>
      </c>
      <c r="B18" s="253" t="s">
        <v>29</v>
      </c>
      <c r="C18" s="252">
        <f>18+198+414+90+4320+7993</f>
        <v>13033</v>
      </c>
      <c r="D18" s="252">
        <f>11+23+5+240+439</f>
        <v>718</v>
      </c>
      <c r="E18" s="249"/>
      <c r="F18" s="250" t="s">
        <v>177</v>
      </c>
      <c r="G18" s="253" t="s">
        <v>33</v>
      </c>
      <c r="H18" s="252"/>
      <c r="I18" s="252">
        <v>0</v>
      </c>
    </row>
    <row r="19" spans="1:14" ht="21">
      <c r="A19" s="250" t="s">
        <v>144</v>
      </c>
      <c r="B19" s="253" t="s">
        <v>30</v>
      </c>
      <c r="C19" s="252">
        <f>1535.3+30003+3500+18963.25+42657+14090+3983.89+366+93574+281+50327.1+8408+43644.75</f>
        <v>311333.29000000004</v>
      </c>
      <c r="D19" s="252">
        <v>0</v>
      </c>
      <c r="E19" s="249"/>
      <c r="F19" s="250" t="s">
        <v>177</v>
      </c>
      <c r="G19" s="251" t="s">
        <v>38</v>
      </c>
      <c r="H19" s="252"/>
      <c r="I19" s="252">
        <v>0</v>
      </c>
    </row>
    <row r="20" spans="1:14" ht="21">
      <c r="A20" s="250" t="s">
        <v>144</v>
      </c>
      <c r="B20" s="253" t="s">
        <v>31</v>
      </c>
      <c r="C20" s="252">
        <f>2848+11390+2243+1713+21727+7225+4.34+57024+24032.8+8170+41134.79</f>
        <v>177511.93000000002</v>
      </c>
      <c r="D20" s="252">
        <v>0</v>
      </c>
      <c r="E20" s="249"/>
      <c r="F20" s="250" t="s">
        <v>177</v>
      </c>
      <c r="G20" s="251" t="s">
        <v>39</v>
      </c>
      <c r="H20" s="252">
        <v>84</v>
      </c>
      <c r="I20" s="252">
        <v>60</v>
      </c>
      <c r="N20" s="43"/>
    </row>
    <row r="21" spans="1:14" ht="21">
      <c r="A21" s="250" t="s">
        <v>144</v>
      </c>
      <c r="B21" s="253" t="s">
        <v>32</v>
      </c>
      <c r="C21" s="252">
        <f>1450+4554.48+100+3140+2862+13165.66</f>
        <v>25272.14</v>
      </c>
      <c r="D21" s="252">
        <v>0</v>
      </c>
      <c r="E21" s="249"/>
      <c r="F21" s="249"/>
      <c r="G21" s="249"/>
      <c r="H21" s="249"/>
      <c r="I21" s="249"/>
    </row>
    <row r="22" spans="1:14" ht="21">
      <c r="A22" s="250" t="s">
        <v>144</v>
      </c>
      <c r="B22" s="253" t="s">
        <v>33</v>
      </c>
      <c r="C22" s="252">
        <f>12137+12878+5095+361.51+526+9538+10766+38414.85</f>
        <v>89716.359999999986</v>
      </c>
      <c r="D22" s="252">
        <v>0</v>
      </c>
      <c r="E22" s="249"/>
      <c r="F22" s="250" t="s">
        <v>159</v>
      </c>
      <c r="G22" s="250" t="s">
        <v>177</v>
      </c>
      <c r="H22" s="117"/>
      <c r="I22" s="249"/>
    </row>
    <row r="23" spans="1:14" ht="21">
      <c r="A23" s="250" t="s">
        <v>144</v>
      </c>
      <c r="B23" s="253" t="s">
        <v>34</v>
      </c>
      <c r="C23" s="252">
        <f>1817.35+2544.75</f>
        <v>4362.1000000000004</v>
      </c>
      <c r="D23" s="252">
        <v>0</v>
      </c>
      <c r="E23" s="249"/>
      <c r="F23" s="255" t="s">
        <v>133</v>
      </c>
      <c r="G23" s="256" t="s">
        <v>179</v>
      </c>
      <c r="H23" s="249"/>
      <c r="I23" s="249"/>
    </row>
    <row r="24" spans="1:14" ht="21">
      <c r="A24" s="250" t="s">
        <v>144</v>
      </c>
      <c r="B24" s="253" t="s">
        <v>35</v>
      </c>
      <c r="C24" s="252">
        <f>221+1184.2+470+4810+9569</f>
        <v>16254.2</v>
      </c>
      <c r="D24" s="252">
        <v>0</v>
      </c>
      <c r="E24" s="249"/>
      <c r="F24" s="255" t="s">
        <v>117</v>
      </c>
      <c r="G24" s="256" t="s">
        <v>191</v>
      </c>
      <c r="H24" s="249"/>
      <c r="I24" s="249"/>
    </row>
    <row r="25" spans="1:14" ht="21">
      <c r="A25" s="250" t="s">
        <v>144</v>
      </c>
      <c r="B25" s="253" t="s">
        <v>36</v>
      </c>
      <c r="C25" s="252">
        <f>1680+80+210</f>
        <v>1970</v>
      </c>
      <c r="D25" s="252">
        <v>0</v>
      </c>
      <c r="E25" s="249"/>
      <c r="F25" s="255" t="s">
        <v>118</v>
      </c>
      <c r="G25" s="256" t="s">
        <v>181</v>
      </c>
      <c r="H25" s="249"/>
      <c r="I25" s="249"/>
    </row>
    <row r="26" spans="1:14" ht="21">
      <c r="A26" s="250" t="s">
        <v>144</v>
      </c>
      <c r="B26" s="253" t="s">
        <v>37</v>
      </c>
      <c r="C26" s="252">
        <f>2260+746+2622+443+4650+1318+175+2423</f>
        <v>14637</v>
      </c>
      <c r="D26" s="252">
        <v>0</v>
      </c>
      <c r="E26" s="249"/>
      <c r="F26" s="255" t="s">
        <v>182</v>
      </c>
      <c r="G26" s="256" t="s">
        <v>180</v>
      </c>
      <c r="H26" s="249"/>
      <c r="I26" s="249"/>
    </row>
    <row r="27" spans="1:14" ht="21">
      <c r="A27" s="250" t="s">
        <v>144</v>
      </c>
      <c r="B27" s="251" t="s">
        <v>38</v>
      </c>
      <c r="C27" s="252">
        <f>303.75+93.8+80+102+2829</f>
        <v>3408.55</v>
      </c>
      <c r="D27" s="252">
        <f>225+67+100+34+943</f>
        <v>1369</v>
      </c>
      <c r="E27" s="249"/>
      <c r="F27" s="250" t="s">
        <v>120</v>
      </c>
      <c r="G27" s="256" t="s">
        <v>183</v>
      </c>
      <c r="H27" s="249"/>
      <c r="I27" s="249"/>
    </row>
    <row r="28" spans="1:14" ht="21">
      <c r="A28" s="250" t="s">
        <v>144</v>
      </c>
      <c r="B28" s="251" t="s">
        <v>39</v>
      </c>
      <c r="C28" s="252">
        <f>350+193+196+338.8+830+347.2+681.8</f>
        <v>2936.8</v>
      </c>
      <c r="D28" s="252">
        <f>250+138+140+242+593+248+174+487</f>
        <v>2272</v>
      </c>
      <c r="E28" s="249"/>
      <c r="F28" s="250" t="s">
        <v>184</v>
      </c>
      <c r="G28" s="256" t="s">
        <v>185</v>
      </c>
      <c r="H28" s="249"/>
      <c r="I28" s="249"/>
    </row>
    <row r="29" spans="1:14" ht="21">
      <c r="A29" s="250" t="s">
        <v>144</v>
      </c>
      <c r="B29" s="251" t="s">
        <v>40</v>
      </c>
      <c r="C29" s="252">
        <f>226+722+60+114+10+1321.6+2225.2</f>
        <v>4678.7999999999993</v>
      </c>
      <c r="D29" s="252">
        <f>565+1807+150+285+100+3304+5563</f>
        <v>11774</v>
      </c>
      <c r="E29" s="249"/>
      <c r="F29" s="255" t="s">
        <v>136</v>
      </c>
      <c r="G29" s="256" t="s">
        <v>192</v>
      </c>
      <c r="H29" s="249"/>
      <c r="I29" s="249"/>
    </row>
    <row r="30" spans="1:14" ht="21">
      <c r="A30" s="250" t="s">
        <v>144</v>
      </c>
      <c r="B30" s="251" t="s">
        <v>42</v>
      </c>
      <c r="C30" s="252">
        <f>176+1393.8+2168.4+667+782.4+372+64+3194.4+4603.2</f>
        <v>13421.2</v>
      </c>
      <c r="D30" s="252">
        <f>320+2323+3336+1112+1304+620+110+5324+7672</f>
        <v>22121</v>
      </c>
      <c r="E30" s="249"/>
      <c r="F30" s="250" t="s">
        <v>178</v>
      </c>
      <c r="G30" s="256" t="s">
        <v>187</v>
      </c>
      <c r="H30" s="249"/>
      <c r="I30" s="249"/>
    </row>
    <row r="31" spans="1:14" ht="21">
      <c r="A31" s="250" t="s">
        <v>144</v>
      </c>
      <c r="B31" s="251" t="s">
        <v>43</v>
      </c>
      <c r="C31" s="252"/>
      <c r="D31" s="252">
        <f>27+363+310+1938+1028+819+240+34</f>
        <v>4759</v>
      </c>
      <c r="E31" s="249"/>
      <c r="F31" s="250" t="s">
        <v>137</v>
      </c>
      <c r="G31" s="256" t="s">
        <v>186</v>
      </c>
      <c r="H31" s="249"/>
      <c r="I31" s="249"/>
    </row>
    <row r="32" spans="1:14" ht="21">
      <c r="A32" s="257"/>
      <c r="B32" s="257"/>
      <c r="C32" s="258">
        <f>SUM(C5:C31)</f>
        <v>2666800.8600000003</v>
      </c>
      <c r="D32" s="252"/>
      <c r="E32" s="249"/>
      <c r="F32" s="255" t="s">
        <v>138</v>
      </c>
      <c r="G32" s="256" t="s">
        <v>190</v>
      </c>
      <c r="H32" s="249"/>
      <c r="I32" s="249"/>
    </row>
    <row r="33" spans="1:9" ht="21">
      <c r="A33" s="249"/>
      <c r="B33" s="249"/>
      <c r="C33" s="249"/>
      <c r="D33" s="249"/>
      <c r="E33" s="249"/>
      <c r="F33" s="250" t="s">
        <v>188</v>
      </c>
      <c r="G33" s="256" t="s">
        <v>189</v>
      </c>
      <c r="H33" s="249"/>
      <c r="I33" s="249"/>
    </row>
    <row r="34" spans="1:9" ht="21">
      <c r="A34" s="249"/>
      <c r="B34" s="249"/>
      <c r="C34" s="249"/>
      <c r="D34" s="249"/>
      <c r="E34" s="249"/>
      <c r="F34" s="259" t="s">
        <v>110</v>
      </c>
      <c r="G34" s="260" t="s">
        <v>193</v>
      </c>
      <c r="H34" s="249"/>
      <c r="I34" s="249"/>
    </row>
    <row r="35" spans="1:9" ht="21">
      <c r="A35" s="249"/>
      <c r="B35" s="261" t="s">
        <v>143</v>
      </c>
      <c r="C35" s="262">
        <f>C32+G34</f>
        <v>2713394.8600000003</v>
      </c>
      <c r="D35" s="261"/>
      <c r="E35" s="249"/>
      <c r="F35" s="249"/>
      <c r="G35" s="263"/>
      <c r="H35" s="249"/>
      <c r="I35" s="249"/>
    </row>
  </sheetData>
  <mergeCells count="2">
    <mergeCell ref="A2:D2"/>
    <mergeCell ref="F2:I2"/>
  </mergeCells>
  <pageMargins left="0.7" right="0.7" top="0.75" bottom="0.75" header="0.3" footer="0.3"/>
  <pageSetup scale="47" orientation="portrait" r:id="rId1"/>
  <ignoredErrors>
    <ignoredError sqref="G23:G3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CFDA-8EC6-4CC7-BFDC-EDDCBFDE3468}">
  <sheetPr>
    <pageSetUpPr fitToPage="1"/>
  </sheetPr>
  <dimension ref="A1:P63"/>
  <sheetViews>
    <sheetView zoomScaleNormal="100" workbookViewId="0">
      <selection activeCell="Q17" sqref="Q17"/>
    </sheetView>
  </sheetViews>
  <sheetFormatPr defaultRowHeight="15"/>
  <cols>
    <col min="2" max="2" width="26" bestFit="1" customWidth="1"/>
    <col min="3" max="3" width="13.42578125" bestFit="1" customWidth="1"/>
    <col min="4" max="4" width="18.7109375" customWidth="1"/>
    <col min="5" max="7" width="12.7109375" customWidth="1"/>
    <col min="8" max="8" width="13.42578125" bestFit="1" customWidth="1"/>
    <col min="9" max="10" width="12.7109375" customWidth="1"/>
    <col min="11" max="11" width="15.5703125" bestFit="1" customWidth="1"/>
    <col min="12" max="13" width="12.7109375" customWidth="1"/>
    <col min="14" max="14" width="15.42578125" bestFit="1" customWidth="1"/>
    <col min="15" max="15" width="19.140625" bestFit="1" customWidth="1"/>
    <col min="16" max="16" width="13.28515625" bestFit="1" customWidth="1"/>
  </cols>
  <sheetData>
    <row r="1" spans="1:16" ht="21">
      <c r="A1" s="288" t="s">
        <v>212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16" ht="15.75">
      <c r="A2" s="190" t="s">
        <v>1</v>
      </c>
      <c r="B2" s="190" t="s">
        <v>3</v>
      </c>
      <c r="C2" s="190" t="s">
        <v>205</v>
      </c>
      <c r="D2" s="190" t="s">
        <v>207</v>
      </c>
      <c r="E2" s="190" t="s">
        <v>208</v>
      </c>
      <c r="F2" s="190" t="s">
        <v>70</v>
      </c>
      <c r="G2" s="190" t="s">
        <v>53</v>
      </c>
      <c r="H2" s="190" t="s">
        <v>52</v>
      </c>
      <c r="I2" s="190" t="s">
        <v>54</v>
      </c>
      <c r="J2" s="190" t="s">
        <v>51</v>
      </c>
      <c r="K2" s="190" t="s">
        <v>50</v>
      </c>
      <c r="L2" s="190" t="s">
        <v>140</v>
      </c>
      <c r="M2" s="190" t="s">
        <v>209</v>
      </c>
      <c r="N2" s="190" t="s">
        <v>210</v>
      </c>
      <c r="O2" s="190" t="s">
        <v>110</v>
      </c>
      <c r="P2" s="190" t="s">
        <v>211</v>
      </c>
    </row>
    <row r="3" spans="1:16" ht="15.75">
      <c r="A3" s="19">
        <v>1</v>
      </c>
      <c r="B3" s="21" t="s">
        <v>14</v>
      </c>
      <c r="C3" s="17">
        <v>140111.67999999999</v>
      </c>
      <c r="D3" s="20">
        <v>162795.57999999999</v>
      </c>
      <c r="E3" s="20">
        <v>173003</v>
      </c>
      <c r="F3" s="31">
        <v>13125</v>
      </c>
      <c r="G3" s="20">
        <v>21970</v>
      </c>
      <c r="H3" s="270">
        <v>-1147.96</v>
      </c>
      <c r="I3" s="270">
        <v>-293.89999999999998</v>
      </c>
      <c r="J3" s="20">
        <v>63380.4</v>
      </c>
      <c r="K3" s="20">
        <v>-27651.45</v>
      </c>
      <c r="L3" s="31">
        <v>14973</v>
      </c>
      <c r="M3" s="20">
        <v>56758</v>
      </c>
      <c r="N3" s="20">
        <v>3665.35</v>
      </c>
      <c r="O3" s="20">
        <f>N3+M3+L3+J3+G3+F3+E3+D3+C3</f>
        <v>649782.01</v>
      </c>
      <c r="P3" s="20"/>
    </row>
    <row r="4" spans="1:16" ht="15.75">
      <c r="A4" s="19">
        <v>2</v>
      </c>
      <c r="B4" s="21" t="s">
        <v>15</v>
      </c>
      <c r="C4" s="17">
        <v>31081</v>
      </c>
      <c r="D4" s="20">
        <v>49727</v>
      </c>
      <c r="E4" s="20">
        <v>15968</v>
      </c>
      <c r="F4" s="19">
        <v>0</v>
      </c>
      <c r="G4" s="20">
        <v>13970</v>
      </c>
      <c r="H4" s="270">
        <v>-103.8</v>
      </c>
      <c r="I4" s="20">
        <v>0</v>
      </c>
      <c r="J4" s="20">
        <v>52643</v>
      </c>
      <c r="K4" s="19">
        <v>-772</v>
      </c>
      <c r="L4" s="31">
        <v>7562</v>
      </c>
      <c r="M4" s="19">
        <v>14421</v>
      </c>
      <c r="N4" s="20">
        <v>1672</v>
      </c>
      <c r="O4" s="20">
        <f>N4+M4+L4+J4+I4+G4+F4+E4+D4+C4</f>
        <v>187044</v>
      </c>
      <c r="P4" s="20"/>
    </row>
    <row r="5" spans="1:16" ht="15.75">
      <c r="A5" s="19">
        <v>3</v>
      </c>
      <c r="B5" s="21" t="s">
        <v>16</v>
      </c>
      <c r="C5" s="17">
        <v>158726.6</v>
      </c>
      <c r="D5" s="20">
        <v>123762.3</v>
      </c>
      <c r="E5" s="20">
        <v>80197</v>
      </c>
      <c r="F5" s="37">
        <v>1221</v>
      </c>
      <c r="G5" s="20">
        <v>9250</v>
      </c>
      <c r="H5" s="20">
        <v>2460.5</v>
      </c>
      <c r="I5" s="20">
        <v>0</v>
      </c>
      <c r="J5" s="20">
        <v>23421</v>
      </c>
      <c r="K5" s="19">
        <v>1850</v>
      </c>
      <c r="L5" s="31">
        <v>2701</v>
      </c>
      <c r="M5" s="19">
        <v>4773</v>
      </c>
      <c r="N5" s="20">
        <v>-1295</v>
      </c>
      <c r="O5" s="20">
        <f>M5+L5+K5+J5+I5+H5+G5+F5+E5+D5+C5</f>
        <v>408362.4</v>
      </c>
      <c r="P5" s="20"/>
    </row>
    <row r="6" spans="1:16" ht="15.75">
      <c r="A6" s="19">
        <v>4</v>
      </c>
      <c r="B6" s="21" t="s">
        <v>17</v>
      </c>
      <c r="C6" s="17">
        <v>4760</v>
      </c>
      <c r="D6" s="20">
        <v>5494.1</v>
      </c>
      <c r="E6" s="20">
        <v>20434</v>
      </c>
      <c r="F6" s="19">
        <v>0</v>
      </c>
      <c r="G6" s="20">
        <v>119</v>
      </c>
      <c r="H6" s="20">
        <v>0</v>
      </c>
      <c r="I6" s="20">
        <v>34</v>
      </c>
      <c r="J6" s="20">
        <v>-68</v>
      </c>
      <c r="K6" s="19">
        <v>85</v>
      </c>
      <c r="L6" s="31">
        <v>1836</v>
      </c>
      <c r="M6" s="19">
        <v>1360</v>
      </c>
      <c r="N6" s="20">
        <v>1912.5</v>
      </c>
      <c r="O6" s="20">
        <f>N6+M6+L6+K6+I6+H6+G6+F6+E6+D6+C6</f>
        <v>36034.6</v>
      </c>
      <c r="P6" s="20"/>
    </row>
    <row r="7" spans="1:16" ht="15.75">
      <c r="A7" s="19">
        <v>5</v>
      </c>
      <c r="B7" s="21" t="s">
        <v>18</v>
      </c>
      <c r="C7" s="17">
        <v>41692.5</v>
      </c>
      <c r="D7" s="20">
        <v>71791.5</v>
      </c>
      <c r="E7" s="20">
        <f>42520+12200</f>
        <v>54720</v>
      </c>
      <c r="F7" s="19">
        <v>200</v>
      </c>
      <c r="G7" s="20">
        <v>3240</v>
      </c>
      <c r="H7" s="270">
        <v>-360</v>
      </c>
      <c r="I7" s="20">
        <v>1655</v>
      </c>
      <c r="J7" s="20">
        <v>9510</v>
      </c>
      <c r="K7" s="19">
        <v>-2065</v>
      </c>
      <c r="L7" s="31">
        <v>605</v>
      </c>
      <c r="M7" s="19">
        <v>4870</v>
      </c>
      <c r="N7" s="20">
        <v>-11760</v>
      </c>
      <c r="O7" s="20">
        <f>M7+L7+J7+I7+G7+F7+E7+D7+C7</f>
        <v>188284</v>
      </c>
      <c r="P7" s="20"/>
    </row>
    <row r="8" spans="1:16" ht="15.75">
      <c r="A8" s="19">
        <v>6</v>
      </c>
      <c r="B8" s="21" t="s">
        <v>19</v>
      </c>
      <c r="C8" s="17">
        <v>3820.78</v>
      </c>
      <c r="D8" s="20">
        <v>6146.14</v>
      </c>
      <c r="E8" s="20">
        <v>6706</v>
      </c>
      <c r="F8" s="19">
        <v>48</v>
      </c>
      <c r="G8" s="20">
        <v>710.4</v>
      </c>
      <c r="H8" s="20">
        <v>795.6</v>
      </c>
      <c r="I8" s="20">
        <v>43.8</v>
      </c>
      <c r="J8" s="20">
        <v>1056.5999999999999</v>
      </c>
      <c r="K8" s="19">
        <v>985</v>
      </c>
      <c r="L8" s="31">
        <v>297</v>
      </c>
      <c r="M8" s="19">
        <v>552</v>
      </c>
      <c r="N8" s="20">
        <v>-201</v>
      </c>
      <c r="O8" s="20">
        <f>M8+L8+K8+J8+I8+H8+G8+F8+E8+D8+C8</f>
        <v>21161.32</v>
      </c>
      <c r="P8" s="20"/>
    </row>
    <row r="9" spans="1:16" ht="15.75">
      <c r="A9" s="19">
        <v>7</v>
      </c>
      <c r="B9" s="24" t="s">
        <v>20</v>
      </c>
      <c r="C9" s="17">
        <v>6098</v>
      </c>
      <c r="D9" s="20">
        <v>5395.9</v>
      </c>
      <c r="E9" s="19">
        <v>25820</v>
      </c>
      <c r="F9" s="19">
        <v>90</v>
      </c>
      <c r="G9" s="20">
        <v>735</v>
      </c>
      <c r="H9" s="270">
        <v>-10</v>
      </c>
      <c r="I9" s="20">
        <v>395</v>
      </c>
      <c r="J9" s="20">
        <v>480</v>
      </c>
      <c r="K9" s="19">
        <v>20</v>
      </c>
      <c r="L9" s="31">
        <v>650</v>
      </c>
      <c r="M9" s="19">
        <v>3940</v>
      </c>
      <c r="N9" s="20">
        <v>1900</v>
      </c>
      <c r="O9" s="20">
        <f>N9+M9+L9+K9+J9+I9+G9+F9+E9+D9+C9</f>
        <v>45523.9</v>
      </c>
      <c r="P9" s="20"/>
    </row>
    <row r="10" spans="1:16" ht="15.75">
      <c r="A10" s="19">
        <v>8</v>
      </c>
      <c r="B10" s="24" t="s">
        <v>22</v>
      </c>
      <c r="C10" s="17">
        <v>20128</v>
      </c>
      <c r="D10" s="20">
        <v>8793.7000000000007</v>
      </c>
      <c r="E10" s="19">
        <v>1485</v>
      </c>
      <c r="F10" s="19">
        <v>7285</v>
      </c>
      <c r="G10" s="20">
        <v>2830</v>
      </c>
      <c r="H10" s="20">
        <v>245.25</v>
      </c>
      <c r="I10" s="20">
        <v>1745</v>
      </c>
      <c r="J10" s="20">
        <v>11625</v>
      </c>
      <c r="K10" s="19">
        <v>-100</v>
      </c>
      <c r="L10" s="31">
        <v>650</v>
      </c>
      <c r="M10" s="19">
        <v>10155</v>
      </c>
      <c r="N10" s="20">
        <v>-745</v>
      </c>
      <c r="O10" s="20">
        <f>M10+L10+J10+I10+H10+G10+F10+E10+D10+C10</f>
        <v>64941.95</v>
      </c>
      <c r="P10" s="20"/>
    </row>
    <row r="11" spans="1:16" ht="15.75">
      <c r="A11" s="19">
        <v>9</v>
      </c>
      <c r="B11" s="24" t="s">
        <v>23</v>
      </c>
      <c r="C11" s="17">
        <v>716.9</v>
      </c>
      <c r="D11" s="20">
        <v>1823.2</v>
      </c>
      <c r="E11" s="19">
        <v>32765</v>
      </c>
      <c r="F11" s="19">
        <v>0</v>
      </c>
      <c r="G11" s="20">
        <v>349.6</v>
      </c>
      <c r="H11" s="20">
        <v>79.2</v>
      </c>
      <c r="I11" s="20">
        <v>0</v>
      </c>
      <c r="J11" s="20">
        <v>1002.4</v>
      </c>
      <c r="K11" s="19">
        <v>274</v>
      </c>
      <c r="L11" s="31">
        <v>0</v>
      </c>
      <c r="M11" s="19">
        <v>1064</v>
      </c>
      <c r="N11" s="20">
        <v>82.4</v>
      </c>
      <c r="O11" s="20">
        <f>N11+M11+L11+K11+J11+I11+H11+G11+F11+E11+D11+C11</f>
        <v>38156.699999999997</v>
      </c>
      <c r="P11" s="20"/>
    </row>
    <row r="12" spans="1:16" ht="15.75">
      <c r="A12" s="19">
        <v>10</v>
      </c>
      <c r="B12" s="24" t="s">
        <v>25</v>
      </c>
      <c r="C12" s="17">
        <v>6455.4</v>
      </c>
      <c r="D12" s="20">
        <v>7026.4</v>
      </c>
      <c r="E12" s="19">
        <v>1333</v>
      </c>
      <c r="F12" s="19">
        <v>0</v>
      </c>
      <c r="G12" s="20">
        <v>2089</v>
      </c>
      <c r="H12" s="270">
        <v>-2034.5</v>
      </c>
      <c r="I12" s="20">
        <v>2711</v>
      </c>
      <c r="J12" s="20">
        <v>8336</v>
      </c>
      <c r="K12" s="19">
        <v>4467.75</v>
      </c>
      <c r="L12" s="31">
        <v>0</v>
      </c>
      <c r="M12" s="19">
        <v>0</v>
      </c>
      <c r="N12" s="20">
        <v>55</v>
      </c>
      <c r="O12" s="20">
        <f>N12+M12+L12+K12+J12+I12+G12+F12+E12+D12+C12</f>
        <v>32473.550000000003</v>
      </c>
      <c r="P12" s="20"/>
    </row>
    <row r="13" spans="1:16" ht="15.75">
      <c r="A13" s="19">
        <v>11</v>
      </c>
      <c r="B13" s="24" t="s">
        <v>26</v>
      </c>
      <c r="C13" s="17">
        <v>10212</v>
      </c>
      <c r="D13" s="20">
        <v>8533</v>
      </c>
      <c r="E13" s="19">
        <v>1200</v>
      </c>
      <c r="F13" s="19">
        <v>300</v>
      </c>
      <c r="G13" s="20">
        <v>3342</v>
      </c>
      <c r="H13" s="20">
        <v>31.09</v>
      </c>
      <c r="I13" s="20">
        <v>7</v>
      </c>
      <c r="J13" s="20">
        <v>8558</v>
      </c>
      <c r="K13" s="19">
        <v>6997.56</v>
      </c>
      <c r="L13" s="31">
        <v>960</v>
      </c>
      <c r="M13" s="19">
        <v>5485</v>
      </c>
      <c r="N13" s="20">
        <v>430</v>
      </c>
      <c r="O13" s="20">
        <f>N13+M13+L13+K13+J13+I13+H13+G13+F13+E13+D13+C13</f>
        <v>46055.65</v>
      </c>
      <c r="P13" s="20"/>
    </row>
    <row r="14" spans="1:16" ht="15.75">
      <c r="A14" s="19">
        <v>12</v>
      </c>
      <c r="B14" s="21" t="s">
        <v>27</v>
      </c>
      <c r="C14" s="17">
        <v>67</v>
      </c>
      <c r="D14" s="20">
        <v>1263</v>
      </c>
      <c r="E14" s="19">
        <v>18657</v>
      </c>
      <c r="F14" s="19"/>
      <c r="G14" s="20">
        <v>0</v>
      </c>
      <c r="H14" s="20">
        <v>15</v>
      </c>
      <c r="I14" s="20">
        <v>0</v>
      </c>
      <c r="J14" s="20">
        <v>0</v>
      </c>
      <c r="K14" s="19">
        <v>0</v>
      </c>
      <c r="L14" s="31">
        <v>0</v>
      </c>
      <c r="M14" s="19">
        <v>0</v>
      </c>
      <c r="N14" s="20">
        <v>0</v>
      </c>
      <c r="O14" s="20">
        <f>N14+M14+L14+K14+J14+I14+H14+G14+F14+E14+D14+C14</f>
        <v>20002</v>
      </c>
      <c r="P14" s="20"/>
    </row>
    <row r="15" spans="1:16" ht="15.75">
      <c r="A15" s="19">
        <v>13</v>
      </c>
      <c r="B15" s="25" t="s">
        <v>28</v>
      </c>
      <c r="C15" s="17">
        <v>34806</v>
      </c>
      <c r="D15" s="20">
        <v>92032</v>
      </c>
      <c r="E15" s="19">
        <v>0</v>
      </c>
      <c r="F15" s="19">
        <v>1072</v>
      </c>
      <c r="G15" s="20">
        <v>6975</v>
      </c>
      <c r="H15" s="270">
        <v>-1439</v>
      </c>
      <c r="I15" s="270">
        <v>-205</v>
      </c>
      <c r="J15" s="20">
        <v>20679</v>
      </c>
      <c r="K15" s="19">
        <v>10149</v>
      </c>
      <c r="L15" s="31">
        <v>3570</v>
      </c>
      <c r="M15" s="19">
        <v>11934</v>
      </c>
      <c r="N15" s="20">
        <v>7743.5</v>
      </c>
      <c r="O15" s="20">
        <f>N15+M15+L15+K15+J15+G15+F15+E15+D15+C15</f>
        <v>188960.5</v>
      </c>
      <c r="P15" s="20"/>
    </row>
    <row r="16" spans="1:16" ht="15.75">
      <c r="A16" s="19">
        <v>14</v>
      </c>
      <c r="B16" s="25" t="s">
        <v>29</v>
      </c>
      <c r="C16" s="17">
        <v>4320</v>
      </c>
      <c r="D16" s="20">
        <v>7993</v>
      </c>
      <c r="E16" s="19">
        <v>58446</v>
      </c>
      <c r="F16" s="19">
        <v>3037</v>
      </c>
      <c r="G16" s="20">
        <v>0</v>
      </c>
      <c r="H16" s="20">
        <v>198</v>
      </c>
      <c r="I16" s="20">
        <v>414</v>
      </c>
      <c r="J16" s="20">
        <v>0</v>
      </c>
      <c r="K16" s="19">
        <v>18</v>
      </c>
      <c r="L16" s="31">
        <v>0</v>
      </c>
      <c r="M16" s="19">
        <v>0</v>
      </c>
      <c r="N16" s="20">
        <v>0</v>
      </c>
      <c r="O16" s="20">
        <f>N16+M16+L16+K16+J16+I16+H16+G16+F16+E16+D16+C16</f>
        <v>74426</v>
      </c>
      <c r="P16" s="20"/>
    </row>
    <row r="17" spans="1:16" ht="15.75">
      <c r="A17" s="19">
        <v>15</v>
      </c>
      <c r="B17" s="25" t="s">
        <v>30</v>
      </c>
      <c r="C17" s="17">
        <v>50327</v>
      </c>
      <c r="D17" s="20">
        <v>43644.75</v>
      </c>
      <c r="E17" s="19">
        <v>90</v>
      </c>
      <c r="F17" s="19">
        <v>0</v>
      </c>
      <c r="G17" s="20">
        <v>14090</v>
      </c>
      <c r="H17" s="20">
        <v>3983.89</v>
      </c>
      <c r="I17" s="20">
        <v>366</v>
      </c>
      <c r="J17" s="20">
        <v>42657</v>
      </c>
      <c r="K17" s="19">
        <v>18963.25</v>
      </c>
      <c r="L17" s="31">
        <v>3500</v>
      </c>
      <c r="M17" s="19">
        <v>30003</v>
      </c>
      <c r="N17" s="20">
        <v>1535.3</v>
      </c>
      <c r="O17" s="20">
        <f>N17+M17+L17+K17+J17+I17+H17+G17+F17+E17+D17+C17</f>
        <v>209160.19</v>
      </c>
      <c r="P17" s="20"/>
    </row>
    <row r="18" spans="1:16" ht="15.75">
      <c r="A18" s="19">
        <v>16</v>
      </c>
      <c r="B18" s="25" t="s">
        <v>31</v>
      </c>
      <c r="C18" s="17">
        <v>24032.799999999999</v>
      </c>
      <c r="D18" s="20">
        <v>41134.79</v>
      </c>
      <c r="E18" s="19">
        <v>93574</v>
      </c>
      <c r="F18" s="19">
        <v>8408</v>
      </c>
      <c r="G18" s="20">
        <v>7225</v>
      </c>
      <c r="H18" s="270">
        <v>-153.30000000000001</v>
      </c>
      <c r="I18" s="20">
        <v>4.34</v>
      </c>
      <c r="J18" s="20">
        <v>21727</v>
      </c>
      <c r="K18" s="19">
        <v>1713</v>
      </c>
      <c r="L18" s="31">
        <v>2243</v>
      </c>
      <c r="M18" s="19">
        <v>11390</v>
      </c>
      <c r="N18" s="20">
        <v>2848</v>
      </c>
      <c r="O18" s="20">
        <f>N18+M18+L18+K18+J18+I18+G18+F18+E18+D18+C18</f>
        <v>214299.93</v>
      </c>
      <c r="P18" s="20"/>
    </row>
    <row r="19" spans="1:16" ht="15.75">
      <c r="A19" s="19">
        <v>17</v>
      </c>
      <c r="B19" s="25" t="s">
        <v>32</v>
      </c>
      <c r="C19" s="17">
        <v>3140</v>
      </c>
      <c r="D19" s="20">
        <v>13165.66</v>
      </c>
      <c r="E19" s="19">
        <v>57024</v>
      </c>
      <c r="F19" s="19">
        <v>8170</v>
      </c>
      <c r="G19" s="20">
        <v>0</v>
      </c>
      <c r="H19" s="20">
        <v>0</v>
      </c>
      <c r="I19" s="20">
        <v>100</v>
      </c>
      <c r="J19" s="20">
        <v>0</v>
      </c>
      <c r="K19" s="19">
        <v>4554.4799999999996</v>
      </c>
      <c r="L19" s="31">
        <v>0</v>
      </c>
      <c r="M19" s="19">
        <v>0</v>
      </c>
      <c r="N19" s="20">
        <v>1450</v>
      </c>
      <c r="O19" s="20">
        <f>N19+M19+L19+K19+J19+I19+H19+G19+F19+E19+D19+C19</f>
        <v>87604.14</v>
      </c>
      <c r="P19" s="20"/>
    </row>
    <row r="20" spans="1:16" ht="15.75">
      <c r="A20" s="19">
        <v>18</v>
      </c>
      <c r="B20" s="25" t="s">
        <v>33</v>
      </c>
      <c r="C20" s="17">
        <v>10766</v>
      </c>
      <c r="D20" s="20">
        <v>38414.85</v>
      </c>
      <c r="E20" s="19">
        <v>281</v>
      </c>
      <c r="F20" s="19">
        <v>0</v>
      </c>
      <c r="G20" s="20">
        <v>5095</v>
      </c>
      <c r="H20" s="20">
        <v>361.51</v>
      </c>
      <c r="I20" s="20">
        <v>526</v>
      </c>
      <c r="J20" s="20">
        <v>12878</v>
      </c>
      <c r="K20" s="19">
        <v>0</v>
      </c>
      <c r="L20" s="31">
        <v>0</v>
      </c>
      <c r="M20" s="19">
        <v>12137</v>
      </c>
      <c r="N20" s="20">
        <v>-4481.2</v>
      </c>
      <c r="O20" s="20">
        <f>M20+L20+K20+J20+I20+H20+G20+F20+E20+D20+C20</f>
        <v>80459.360000000001</v>
      </c>
      <c r="P20" s="20"/>
    </row>
    <row r="21" spans="1:16" ht="15.75">
      <c r="A21" s="19">
        <v>19</v>
      </c>
      <c r="B21" s="25" t="s">
        <v>34</v>
      </c>
      <c r="C21" s="17"/>
      <c r="D21" s="20">
        <v>2544.75</v>
      </c>
      <c r="E21" s="19">
        <v>9538</v>
      </c>
      <c r="F21" s="19">
        <v>0</v>
      </c>
      <c r="G21" s="20">
        <v>0</v>
      </c>
      <c r="H21" s="20">
        <v>0</v>
      </c>
      <c r="I21" s="20">
        <v>0</v>
      </c>
      <c r="J21" s="20">
        <v>470</v>
      </c>
      <c r="K21" s="19">
        <v>0</v>
      </c>
      <c r="L21" s="31">
        <v>0</v>
      </c>
      <c r="M21" s="19">
        <v>0</v>
      </c>
      <c r="N21" s="20">
        <v>1817.35</v>
      </c>
      <c r="O21" s="20">
        <f>N21+M21+L21+K21+J21+I21+H21+G21+F21+E21+D21+C21</f>
        <v>14370.1</v>
      </c>
      <c r="P21" s="20"/>
    </row>
    <row r="22" spans="1:16" ht="15.75">
      <c r="A22" s="19">
        <v>20</v>
      </c>
      <c r="B22" s="25" t="s">
        <v>35</v>
      </c>
      <c r="C22" s="17">
        <v>4810</v>
      </c>
      <c r="D22" s="20">
        <v>9569</v>
      </c>
      <c r="E22" s="19">
        <v>0</v>
      </c>
      <c r="F22" s="19">
        <v>2862</v>
      </c>
      <c r="G22" s="20">
        <v>0</v>
      </c>
      <c r="H22" s="20">
        <v>0</v>
      </c>
      <c r="I22" s="20">
        <v>0</v>
      </c>
      <c r="J22" s="20">
        <v>0</v>
      </c>
      <c r="K22" s="19">
        <v>1184.2</v>
      </c>
      <c r="L22" s="31">
        <v>0</v>
      </c>
      <c r="M22" s="19">
        <v>0</v>
      </c>
      <c r="N22" s="20">
        <v>221</v>
      </c>
      <c r="O22" s="20">
        <f>N22+M22+L22+K22+J22+I22+H22+G22+F22+E22+D22+C22</f>
        <v>18646.2</v>
      </c>
      <c r="P22" s="20"/>
    </row>
    <row r="23" spans="1:16" ht="15.75">
      <c r="A23" s="19">
        <v>21</v>
      </c>
      <c r="B23" s="25" t="s">
        <v>36</v>
      </c>
      <c r="C23" s="17">
        <v>210</v>
      </c>
      <c r="D23" s="20"/>
      <c r="E23" s="19">
        <v>0</v>
      </c>
      <c r="F23" s="19">
        <v>0</v>
      </c>
      <c r="G23" s="20">
        <v>80</v>
      </c>
      <c r="H23" s="20">
        <v>0</v>
      </c>
      <c r="I23" s="20">
        <v>0</v>
      </c>
      <c r="J23" s="20">
        <v>0</v>
      </c>
      <c r="K23" s="19">
        <v>0</v>
      </c>
      <c r="L23" s="31">
        <v>0</v>
      </c>
      <c r="M23" s="19">
        <v>0</v>
      </c>
      <c r="N23" s="20">
        <v>1680</v>
      </c>
      <c r="O23" s="20">
        <f>N23+M23+L23+K23+J23+H23+I23+G23+F23+E23+D23+C23</f>
        <v>1970</v>
      </c>
      <c r="P23" s="20"/>
    </row>
    <row r="24" spans="1:16" ht="15.75">
      <c r="A24" s="19">
        <v>22</v>
      </c>
      <c r="B24" s="25" t="s">
        <v>37</v>
      </c>
      <c r="C24" s="17">
        <v>1318</v>
      </c>
      <c r="D24" s="20">
        <v>2423</v>
      </c>
      <c r="E24" s="19">
        <v>0</v>
      </c>
      <c r="F24" s="19">
        <v>0</v>
      </c>
      <c r="G24" s="20">
        <v>443</v>
      </c>
      <c r="H24" s="20">
        <v>0</v>
      </c>
      <c r="I24" s="20">
        <v>0</v>
      </c>
      <c r="J24" s="20">
        <v>2622</v>
      </c>
      <c r="K24" s="19">
        <v>0</v>
      </c>
      <c r="L24" s="31">
        <v>0</v>
      </c>
      <c r="M24" s="19">
        <v>746</v>
      </c>
      <c r="N24" s="20">
        <v>2260</v>
      </c>
      <c r="O24" s="20">
        <f>N24+M24+L24+K24+J24+I24+H24+G24+F24+E24+D24+C24</f>
        <v>9812</v>
      </c>
      <c r="P24" s="20"/>
    </row>
    <row r="25" spans="1:16" ht="15.75">
      <c r="A25" s="19">
        <v>23</v>
      </c>
      <c r="B25" s="21" t="s">
        <v>38</v>
      </c>
      <c r="C25" s="17">
        <v>102</v>
      </c>
      <c r="D25" s="20">
        <v>2829</v>
      </c>
      <c r="E25" s="19">
        <v>4650</v>
      </c>
      <c r="F25" s="19">
        <v>0</v>
      </c>
      <c r="G25" s="20">
        <v>0</v>
      </c>
      <c r="H25" s="20">
        <v>93</v>
      </c>
      <c r="I25" s="26">
        <v>0</v>
      </c>
      <c r="J25" s="20">
        <v>0</v>
      </c>
      <c r="K25" s="19">
        <v>0</v>
      </c>
      <c r="L25" s="31">
        <v>0</v>
      </c>
      <c r="M25" s="19">
        <v>0</v>
      </c>
      <c r="N25" s="26">
        <v>0</v>
      </c>
      <c r="O25" s="20">
        <f>M25+L25+K25+J25+H25+G25+F25+E25+D25+C25</f>
        <v>7674</v>
      </c>
      <c r="P25" s="20"/>
    </row>
    <row r="26" spans="1:16" ht="15.75">
      <c r="A26" s="19">
        <v>24</v>
      </c>
      <c r="B26" s="21" t="s">
        <v>39</v>
      </c>
      <c r="C26" s="17">
        <v>347.2</v>
      </c>
      <c r="D26" s="20">
        <v>681.8</v>
      </c>
      <c r="E26" s="19">
        <v>80</v>
      </c>
      <c r="F26" s="19">
        <v>0</v>
      </c>
      <c r="G26" s="20">
        <v>196</v>
      </c>
      <c r="H26" s="270">
        <v>-37.799999999999997</v>
      </c>
      <c r="I26" s="27">
        <v>338.8</v>
      </c>
      <c r="J26" s="20">
        <v>303.75</v>
      </c>
      <c r="K26" s="19">
        <v>193</v>
      </c>
      <c r="L26" s="31">
        <v>0</v>
      </c>
      <c r="M26" s="19">
        <v>350</v>
      </c>
      <c r="N26" s="27">
        <v>0</v>
      </c>
      <c r="O26" s="269">
        <f>M26+L26+K26+J26+I26+G26+F26+E26+D26+C26</f>
        <v>2490.5499999999997</v>
      </c>
      <c r="P26" s="20"/>
    </row>
    <row r="27" spans="1:16" ht="15.75">
      <c r="A27" s="19">
        <v>25</v>
      </c>
      <c r="B27" s="21" t="s">
        <v>40</v>
      </c>
      <c r="C27" s="17">
        <v>1321.6</v>
      </c>
      <c r="D27" s="20">
        <v>2225.1999999999998</v>
      </c>
      <c r="E27" s="19">
        <v>830</v>
      </c>
      <c r="F27" s="19">
        <v>175</v>
      </c>
      <c r="G27" s="20">
        <v>60</v>
      </c>
      <c r="H27" s="27">
        <f>I27*0.4</f>
        <v>0</v>
      </c>
      <c r="I27" s="27">
        <v>0</v>
      </c>
      <c r="J27" s="20">
        <v>0</v>
      </c>
      <c r="K27" s="19">
        <v>722</v>
      </c>
      <c r="L27" s="31">
        <v>0</v>
      </c>
      <c r="M27" s="19">
        <v>0</v>
      </c>
      <c r="N27" s="27">
        <v>226</v>
      </c>
      <c r="O27" s="269">
        <f>N27+K27+G27+F27+E27+D27+C27</f>
        <v>5559.7999999999993</v>
      </c>
      <c r="P27" s="20"/>
    </row>
    <row r="28" spans="1:16" ht="15.75">
      <c r="A28" s="19">
        <v>26</v>
      </c>
      <c r="B28" s="21" t="s">
        <v>41</v>
      </c>
      <c r="C28" s="17">
        <v>0</v>
      </c>
      <c r="D28" s="20">
        <v>0</v>
      </c>
      <c r="E28" s="19">
        <v>40</v>
      </c>
      <c r="F28" s="19">
        <v>0</v>
      </c>
      <c r="G28" s="20">
        <v>0</v>
      </c>
      <c r="H28" s="27">
        <v>114</v>
      </c>
      <c r="I28" s="27">
        <v>0</v>
      </c>
      <c r="J28" s="20">
        <v>0</v>
      </c>
      <c r="K28" s="19">
        <v>0</v>
      </c>
      <c r="L28" s="31">
        <v>0</v>
      </c>
      <c r="M28" s="19">
        <v>0</v>
      </c>
      <c r="N28" s="27">
        <v>0</v>
      </c>
      <c r="O28" s="269">
        <f>H28+E28</f>
        <v>154</v>
      </c>
      <c r="P28" s="20"/>
    </row>
    <row r="29" spans="1:16" ht="15.75">
      <c r="A29" s="19">
        <v>27</v>
      </c>
      <c r="B29" s="21" t="s">
        <v>42</v>
      </c>
      <c r="C29" s="20">
        <v>3194</v>
      </c>
      <c r="D29" s="20">
        <v>4603.2</v>
      </c>
      <c r="E29" s="19">
        <v>0</v>
      </c>
      <c r="F29" s="19">
        <v>0</v>
      </c>
      <c r="G29" s="20">
        <v>667.2</v>
      </c>
      <c r="H29" s="27">
        <v>782.4</v>
      </c>
      <c r="I29" s="27">
        <v>372</v>
      </c>
      <c r="J29" s="20">
        <v>2168.4</v>
      </c>
      <c r="K29" s="19">
        <v>1393</v>
      </c>
      <c r="L29" s="31">
        <v>0</v>
      </c>
      <c r="M29" s="19">
        <v>176</v>
      </c>
      <c r="N29" s="27">
        <v>0</v>
      </c>
      <c r="O29" s="30">
        <f>M29+K29+J29+I29+H29+G29+D29+C29</f>
        <v>13356.199999999999</v>
      </c>
      <c r="P29" s="20"/>
    </row>
    <row r="30" spans="1:16">
      <c r="A30" s="20"/>
      <c r="B30" s="20"/>
      <c r="C30" s="188">
        <f>SUM(C3:C29)</f>
        <v>562564.46000000008</v>
      </c>
      <c r="D30" s="175">
        <f>SUM(D3:D29)</f>
        <v>713812.82000000007</v>
      </c>
      <c r="E30" s="176">
        <f>SUM(E3:E29)</f>
        <v>656841</v>
      </c>
      <c r="F30" s="176">
        <f>SUM(F3:F29)</f>
        <v>45993</v>
      </c>
      <c r="G30" s="175">
        <f>SUM(G3:G29)</f>
        <v>93436.2</v>
      </c>
      <c r="H30" s="188">
        <f>H5+H8+H10+H11+H13+H14+H16+H17+H20+H25+H28+H29</f>
        <v>9159.44</v>
      </c>
      <c r="I30" s="175">
        <f>SUM(I3:I29)</f>
        <v>8213.0400000000009</v>
      </c>
      <c r="J30" s="175">
        <f>SUM(J3:J29)</f>
        <v>283449.55000000005</v>
      </c>
      <c r="K30" s="175">
        <f>K5+K6+K8+K9+K11+K12+K13+K15+K16+K17+K18+K19+K22+K26+K27+K29</f>
        <v>53569.239999999991</v>
      </c>
      <c r="L30" s="175">
        <f>SUM(L3:L29)</f>
        <v>39547</v>
      </c>
      <c r="M30" s="175">
        <f>SUM(M3:M29)</f>
        <v>170114</v>
      </c>
      <c r="N30" s="188">
        <f>N3+N4+N6+N9+N11+N12+N13+N15+N17+N18+N19+N21+N22+N23+N24+N27+N29</f>
        <v>29498.399999999998</v>
      </c>
      <c r="O30" s="188">
        <f>SUM(O3:O29)</f>
        <v>2666765.0500000003</v>
      </c>
      <c r="P30" s="30"/>
    </row>
    <row r="31" spans="1:16">
      <c r="A31" s="28"/>
      <c r="B31" s="28"/>
      <c r="C31" s="28"/>
      <c r="D31" s="28"/>
      <c r="E31" s="28"/>
      <c r="F31" s="19"/>
      <c r="G31" s="28"/>
      <c r="H31" s="28"/>
      <c r="I31" s="28"/>
      <c r="J31" s="28"/>
      <c r="K31" s="28"/>
      <c r="L31" s="28"/>
      <c r="M31" s="28"/>
      <c r="N31" s="28"/>
      <c r="O31" s="40"/>
      <c r="P31" s="28"/>
    </row>
    <row r="32" spans="1:16">
      <c r="F32" s="45"/>
      <c r="O32" s="43"/>
    </row>
    <row r="34" spans="1:14">
      <c r="D34" t="s">
        <v>213</v>
      </c>
    </row>
    <row r="35" spans="1:14">
      <c r="A35" s="176" t="s">
        <v>1</v>
      </c>
      <c r="B35" s="191" t="s">
        <v>3</v>
      </c>
      <c r="C35" s="176" t="s">
        <v>224</v>
      </c>
      <c r="D35" s="176" t="s">
        <v>225</v>
      </c>
      <c r="E35" s="176" t="s">
        <v>226</v>
      </c>
      <c r="F35" s="176" t="s">
        <v>227</v>
      </c>
      <c r="G35" s="176" t="s">
        <v>228</v>
      </c>
      <c r="H35" s="176" t="s">
        <v>120</v>
      </c>
      <c r="I35" s="176" t="s">
        <v>229</v>
      </c>
      <c r="J35" s="176" t="s">
        <v>118</v>
      </c>
      <c r="K35" s="176" t="s">
        <v>117</v>
      </c>
      <c r="L35" s="176" t="s">
        <v>230</v>
      </c>
      <c r="M35" s="176" t="s">
        <v>110</v>
      </c>
      <c r="N35" s="191" t="s">
        <v>211</v>
      </c>
    </row>
    <row r="36" spans="1:14">
      <c r="A36" s="19">
        <v>1</v>
      </c>
      <c r="B36" s="28" t="s">
        <v>14</v>
      </c>
      <c r="C36" s="19">
        <v>3650</v>
      </c>
      <c r="D36" s="19">
        <v>0</v>
      </c>
      <c r="E36" s="19">
        <v>228</v>
      </c>
      <c r="F36" s="19">
        <v>2633</v>
      </c>
      <c r="G36" s="19">
        <v>2863</v>
      </c>
      <c r="H36" s="19">
        <v>0</v>
      </c>
      <c r="I36" s="19">
        <v>0</v>
      </c>
      <c r="J36" s="19">
        <v>0</v>
      </c>
      <c r="K36" s="19">
        <v>0</v>
      </c>
      <c r="L36" s="19">
        <v>4851.99</v>
      </c>
      <c r="M36" s="19">
        <v>14225.99</v>
      </c>
      <c r="N36" s="28"/>
    </row>
    <row r="37" spans="1:14">
      <c r="A37" s="19">
        <v>2</v>
      </c>
      <c r="B37" s="28" t="s">
        <v>15</v>
      </c>
      <c r="C37" s="19">
        <v>1330</v>
      </c>
      <c r="D37" s="19">
        <v>0</v>
      </c>
      <c r="E37" s="19">
        <v>0</v>
      </c>
      <c r="F37" s="19">
        <v>0</v>
      </c>
      <c r="G37" s="19">
        <v>1235</v>
      </c>
      <c r="H37" s="19">
        <v>0</v>
      </c>
      <c r="I37" s="19">
        <v>0</v>
      </c>
      <c r="J37" s="19">
        <v>0</v>
      </c>
      <c r="K37" s="19">
        <v>0</v>
      </c>
      <c r="L37" s="19">
        <v>4657</v>
      </c>
      <c r="M37" s="19">
        <v>7222</v>
      </c>
      <c r="N37" s="28"/>
    </row>
    <row r="38" spans="1:14">
      <c r="A38" s="19">
        <v>3</v>
      </c>
      <c r="B38" s="28" t="s">
        <v>16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481</v>
      </c>
      <c r="M38" s="19">
        <v>481</v>
      </c>
      <c r="N38" s="28"/>
    </row>
    <row r="39" spans="1:14">
      <c r="A39" s="19">
        <v>4</v>
      </c>
      <c r="B39" s="28" t="s">
        <v>17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255</v>
      </c>
      <c r="M39" s="19">
        <v>255</v>
      </c>
      <c r="N39" s="28"/>
    </row>
    <row r="40" spans="1:14">
      <c r="A40" s="19">
        <v>5</v>
      </c>
      <c r="B40" s="28" t="s">
        <v>18</v>
      </c>
      <c r="C40" s="19">
        <v>0</v>
      </c>
      <c r="D40" s="19">
        <v>0</v>
      </c>
      <c r="E40" s="19">
        <v>0</v>
      </c>
      <c r="F40" s="19">
        <v>680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185</v>
      </c>
      <c r="M40" s="19">
        <v>865</v>
      </c>
      <c r="N40" s="28"/>
    </row>
    <row r="41" spans="1:14">
      <c r="A41" s="19">
        <v>6</v>
      </c>
      <c r="B41" s="28" t="s">
        <v>19</v>
      </c>
      <c r="C41" s="19">
        <v>0</v>
      </c>
      <c r="D41" s="19">
        <v>0</v>
      </c>
      <c r="E41" s="19">
        <v>0</v>
      </c>
      <c r="F41" s="19">
        <v>1.2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76.8</v>
      </c>
      <c r="M41" s="19">
        <v>78</v>
      </c>
      <c r="N41" s="28"/>
    </row>
    <row r="42" spans="1:14">
      <c r="A42" s="19">
        <v>7</v>
      </c>
      <c r="B42" s="28" t="s">
        <v>20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190</v>
      </c>
      <c r="M42" s="19">
        <v>190</v>
      </c>
      <c r="N42" s="28"/>
    </row>
    <row r="43" spans="1:14">
      <c r="A43" s="19">
        <v>8</v>
      </c>
      <c r="B43" s="28" t="s">
        <v>22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2000</v>
      </c>
      <c r="I43" s="19">
        <v>0</v>
      </c>
      <c r="J43" s="19">
        <v>0</v>
      </c>
      <c r="K43" s="19">
        <v>0</v>
      </c>
      <c r="L43" s="19">
        <v>175</v>
      </c>
      <c r="M43" s="19">
        <v>2175</v>
      </c>
      <c r="N43" s="28"/>
    </row>
    <row r="44" spans="1:14">
      <c r="A44" s="19">
        <v>9</v>
      </c>
      <c r="B44" s="28" t="s">
        <v>23</v>
      </c>
      <c r="C44" s="19">
        <v>0</v>
      </c>
      <c r="D44" s="19">
        <v>0</v>
      </c>
      <c r="E44" s="19">
        <v>0</v>
      </c>
      <c r="F44" s="19">
        <v>0.8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0.8</v>
      </c>
      <c r="N44" s="28"/>
    </row>
    <row r="45" spans="1:14">
      <c r="A45" s="19">
        <v>10</v>
      </c>
      <c r="B45" s="28" t="s">
        <v>25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28"/>
    </row>
    <row r="46" spans="1:14">
      <c r="A46" s="19">
        <v>11</v>
      </c>
      <c r="B46" s="28" t="s">
        <v>26</v>
      </c>
      <c r="C46" s="19">
        <v>360</v>
      </c>
      <c r="D46" s="19">
        <v>0</v>
      </c>
      <c r="E46" s="19">
        <v>0</v>
      </c>
      <c r="F46" s="19">
        <v>384</v>
      </c>
      <c r="G46" s="19">
        <v>354</v>
      </c>
      <c r="H46" s="19">
        <v>0</v>
      </c>
      <c r="I46" s="19">
        <v>0</v>
      </c>
      <c r="J46" s="19">
        <v>0</v>
      </c>
      <c r="K46" s="19">
        <v>0</v>
      </c>
      <c r="L46" s="19">
        <v>80</v>
      </c>
      <c r="M46" s="19">
        <v>1178</v>
      </c>
      <c r="N46" s="28"/>
    </row>
    <row r="47" spans="1:14">
      <c r="A47" s="19">
        <v>12</v>
      </c>
      <c r="B47" s="28" t="s">
        <v>27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28"/>
    </row>
    <row r="48" spans="1:14">
      <c r="A48" s="19">
        <v>13</v>
      </c>
      <c r="B48" s="28" t="s">
        <v>28</v>
      </c>
      <c r="C48" s="19">
        <v>3740</v>
      </c>
      <c r="D48" s="19">
        <v>544</v>
      </c>
      <c r="E48" s="19">
        <v>782</v>
      </c>
      <c r="F48" s="19">
        <v>425</v>
      </c>
      <c r="G48" s="19">
        <v>1802</v>
      </c>
      <c r="H48" s="19">
        <v>0</v>
      </c>
      <c r="I48" s="19">
        <v>190</v>
      </c>
      <c r="J48" s="19">
        <v>255</v>
      </c>
      <c r="K48" s="19">
        <v>170</v>
      </c>
      <c r="L48" s="19">
        <v>1588</v>
      </c>
      <c r="M48" s="19">
        <v>9496</v>
      </c>
      <c r="N48" s="28"/>
    </row>
    <row r="49" spans="1:14">
      <c r="A49" s="19">
        <v>14</v>
      </c>
      <c r="B49" s="28" t="s">
        <v>29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28"/>
    </row>
    <row r="50" spans="1:14">
      <c r="A50" s="19">
        <v>15</v>
      </c>
      <c r="B50" s="28" t="s">
        <v>30</v>
      </c>
      <c r="C50" s="19">
        <v>369</v>
      </c>
      <c r="D50" s="19">
        <v>0</v>
      </c>
      <c r="E50" s="19">
        <v>0</v>
      </c>
      <c r="F50" s="19">
        <v>230</v>
      </c>
      <c r="G50" s="19">
        <v>150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749</v>
      </c>
      <c r="N50" s="28"/>
    </row>
    <row r="51" spans="1:14">
      <c r="A51" s="19">
        <v>16</v>
      </c>
      <c r="B51" s="28" t="s">
        <v>31</v>
      </c>
      <c r="C51" s="19">
        <v>0</v>
      </c>
      <c r="D51" s="19">
        <v>0</v>
      </c>
      <c r="E51" s="19">
        <v>0</v>
      </c>
      <c r="F51" s="19">
        <v>530</v>
      </c>
      <c r="G51" s="19">
        <v>0</v>
      </c>
      <c r="H51" s="19">
        <v>5364</v>
      </c>
      <c r="I51" s="19">
        <v>0</v>
      </c>
      <c r="J51" s="19">
        <v>0</v>
      </c>
      <c r="K51" s="19">
        <v>0</v>
      </c>
      <c r="L51" s="19">
        <v>3998.44</v>
      </c>
      <c r="M51" s="19">
        <v>9892.44</v>
      </c>
      <c r="N51" s="28"/>
    </row>
    <row r="52" spans="1:14">
      <c r="A52" s="19">
        <v>17</v>
      </c>
      <c r="B52" s="28" t="s">
        <v>32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28"/>
    </row>
    <row r="53" spans="1:14">
      <c r="A53" s="19">
        <v>18</v>
      </c>
      <c r="B53" s="28" t="s">
        <v>33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28"/>
    </row>
    <row r="54" spans="1:14">
      <c r="A54" s="19">
        <v>19</v>
      </c>
      <c r="B54" s="28" t="s">
        <v>34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28"/>
    </row>
    <row r="55" spans="1:14">
      <c r="A55" s="19">
        <v>20</v>
      </c>
      <c r="B55" s="28" t="s">
        <v>35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28"/>
    </row>
    <row r="56" spans="1:14">
      <c r="A56" s="19">
        <v>21</v>
      </c>
      <c r="B56" s="28" t="s">
        <v>36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28"/>
    </row>
    <row r="57" spans="1:14">
      <c r="A57" s="19">
        <v>22</v>
      </c>
      <c r="B57" s="28" t="s">
        <v>37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28"/>
    </row>
    <row r="58" spans="1:14">
      <c r="A58" s="19">
        <v>23</v>
      </c>
      <c r="B58" s="28" t="s">
        <v>38</v>
      </c>
      <c r="C58" s="19" t="s">
        <v>231</v>
      </c>
      <c r="D58" s="19">
        <v>0</v>
      </c>
      <c r="E58" s="19">
        <v>18</v>
      </c>
      <c r="F58" s="19">
        <v>0</v>
      </c>
      <c r="G58" s="19">
        <v>60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78</v>
      </c>
      <c r="N58" s="28"/>
    </row>
    <row r="59" spans="1:14">
      <c r="A59" s="19">
        <v>24</v>
      </c>
      <c r="B59" s="28" t="s">
        <v>39</v>
      </c>
      <c r="C59" s="19">
        <v>84</v>
      </c>
      <c r="D59" s="19">
        <v>0</v>
      </c>
      <c r="E59" s="19">
        <v>0</v>
      </c>
      <c r="F59" s="19">
        <v>0</v>
      </c>
      <c r="G59" s="19">
        <v>84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168</v>
      </c>
      <c r="N59" s="28"/>
    </row>
    <row r="60" spans="1:14">
      <c r="A60" s="19">
        <v>25</v>
      </c>
      <c r="B60" s="28" t="s">
        <v>40</v>
      </c>
      <c r="C60" s="19" t="s">
        <v>231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28"/>
    </row>
    <row r="61" spans="1:14">
      <c r="A61" s="19">
        <v>26</v>
      </c>
      <c r="B61" s="28" t="s">
        <v>41</v>
      </c>
      <c r="C61" s="19" t="s">
        <v>231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28"/>
    </row>
    <row r="62" spans="1:14">
      <c r="A62" s="19">
        <v>27</v>
      </c>
      <c r="B62" s="28" t="s">
        <v>42</v>
      </c>
      <c r="C62" s="19" t="s">
        <v>231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28"/>
    </row>
    <row r="63" spans="1:14">
      <c r="A63" s="28"/>
      <c r="B63" s="28"/>
      <c r="C63" s="271">
        <f t="shared" ref="C63:M63" si="0">SUM(C36:C62)</f>
        <v>9533</v>
      </c>
      <c r="D63" s="176">
        <f t="shared" si="0"/>
        <v>544</v>
      </c>
      <c r="E63" s="176">
        <f t="shared" si="0"/>
        <v>1028</v>
      </c>
      <c r="F63" s="176">
        <f t="shared" si="0"/>
        <v>4884</v>
      </c>
      <c r="G63" s="176">
        <f t="shared" si="0"/>
        <v>6548</v>
      </c>
      <c r="H63" s="176">
        <f t="shared" si="0"/>
        <v>7364</v>
      </c>
      <c r="I63" s="176">
        <f t="shared" si="0"/>
        <v>190</v>
      </c>
      <c r="J63" s="176">
        <f t="shared" si="0"/>
        <v>255</v>
      </c>
      <c r="K63" s="176">
        <f t="shared" si="0"/>
        <v>170</v>
      </c>
      <c r="L63" s="176">
        <f t="shared" si="0"/>
        <v>16538.23</v>
      </c>
      <c r="M63" s="176">
        <f t="shared" si="0"/>
        <v>47054.229999999996</v>
      </c>
      <c r="N63" s="28"/>
    </row>
  </sheetData>
  <mergeCells count="1">
    <mergeCell ref="A1:P1"/>
  </mergeCells>
  <pageMargins left="0.7" right="0.7" top="0.75" bottom="0.75" header="0.3" footer="0.3"/>
  <pageSetup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302A-6B74-4535-BC3C-996EA93D5F3B}">
  <sheetPr>
    <pageSetUpPr fitToPage="1"/>
  </sheetPr>
  <dimension ref="A1:P63"/>
  <sheetViews>
    <sheetView topLeftCell="D40" zoomScaleNormal="100" workbookViewId="0">
      <selection activeCell="G66" sqref="G66"/>
    </sheetView>
  </sheetViews>
  <sheetFormatPr defaultRowHeight="15"/>
  <cols>
    <col min="2" max="2" width="26" bestFit="1" customWidth="1"/>
    <col min="3" max="3" width="17" bestFit="1" customWidth="1"/>
    <col min="4" max="4" width="18.7109375" bestFit="1" customWidth="1"/>
    <col min="5" max="5" width="10.85546875" bestFit="1" customWidth="1"/>
    <col min="8" max="8" width="14" bestFit="1" customWidth="1"/>
    <col min="9" max="9" width="12.5703125" bestFit="1" customWidth="1"/>
    <col min="10" max="10" width="14.85546875" bestFit="1" customWidth="1"/>
    <col min="11" max="11" width="22.5703125" bestFit="1" customWidth="1"/>
    <col min="12" max="12" width="14.7109375" bestFit="1" customWidth="1"/>
    <col min="13" max="13" width="14.42578125" bestFit="1" customWidth="1"/>
    <col min="14" max="14" width="15.42578125" bestFit="1" customWidth="1"/>
    <col min="15" max="15" width="18.7109375" bestFit="1" customWidth="1"/>
    <col min="16" max="16" width="10.42578125" bestFit="1" customWidth="1"/>
  </cols>
  <sheetData>
    <row r="1" spans="1:16" ht="21">
      <c r="A1" s="288" t="s">
        <v>212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16" ht="15.75">
      <c r="A2" s="190" t="s">
        <v>1</v>
      </c>
      <c r="B2" s="190" t="s">
        <v>3</v>
      </c>
      <c r="C2" s="190" t="s">
        <v>205</v>
      </c>
      <c r="D2" s="190" t="s">
        <v>207</v>
      </c>
      <c r="E2" s="190" t="s">
        <v>208</v>
      </c>
      <c r="F2" s="190" t="s">
        <v>70</v>
      </c>
      <c r="G2" s="190" t="s">
        <v>53</v>
      </c>
      <c r="H2" s="190" t="s">
        <v>52</v>
      </c>
      <c r="I2" s="190" t="s">
        <v>54</v>
      </c>
      <c r="J2" s="190" t="s">
        <v>51</v>
      </c>
      <c r="K2" s="190" t="s">
        <v>50</v>
      </c>
      <c r="L2" s="190" t="s">
        <v>140</v>
      </c>
      <c r="M2" s="190" t="s">
        <v>209</v>
      </c>
      <c r="N2" s="190" t="s">
        <v>210</v>
      </c>
      <c r="O2" s="190" t="s">
        <v>110</v>
      </c>
      <c r="P2" s="190" t="s">
        <v>211</v>
      </c>
    </row>
    <row r="3" spans="1:16" ht="15.75">
      <c r="A3" s="19">
        <v>1</v>
      </c>
      <c r="B3" s="21" t="s">
        <v>14</v>
      </c>
      <c r="C3" s="17">
        <f>134381.68</f>
        <v>134381.68</v>
      </c>
      <c r="D3" s="20">
        <v>158985</v>
      </c>
      <c r="E3" s="20">
        <v>177945</v>
      </c>
      <c r="F3" s="31">
        <v>15317</v>
      </c>
      <c r="G3" s="20">
        <v>21970</v>
      </c>
      <c r="H3" s="270">
        <v>-1147.96</v>
      </c>
      <c r="I3" s="270">
        <v>-293.89999999999998</v>
      </c>
      <c r="J3" s="20">
        <v>63380.4</v>
      </c>
      <c r="K3" s="20">
        <v>-27651.45</v>
      </c>
      <c r="L3" s="31">
        <v>14973</v>
      </c>
      <c r="M3" s="20">
        <v>59297</v>
      </c>
      <c r="N3" s="20">
        <v>3665.35</v>
      </c>
      <c r="O3" s="20">
        <f>N3+M3+L3+J3+G3+F3+E3+D3+C3</f>
        <v>649914.42999999993</v>
      </c>
      <c r="P3" s="20"/>
    </row>
    <row r="4" spans="1:16" ht="15.75">
      <c r="A4" s="19">
        <v>2</v>
      </c>
      <c r="B4" s="21" t="s">
        <v>15</v>
      </c>
      <c r="C4" s="17">
        <v>31206</v>
      </c>
      <c r="D4" s="20">
        <v>42659</v>
      </c>
      <c r="E4" s="20">
        <v>15843</v>
      </c>
      <c r="F4" s="31">
        <v>6631</v>
      </c>
      <c r="G4" s="20">
        <v>14050</v>
      </c>
      <c r="H4" s="270">
        <v>-23.8</v>
      </c>
      <c r="I4" s="270">
        <v>0</v>
      </c>
      <c r="J4" s="20">
        <v>52538</v>
      </c>
      <c r="K4" s="20">
        <v>-772</v>
      </c>
      <c r="L4" s="31">
        <v>7562</v>
      </c>
      <c r="M4" s="20">
        <v>13889</v>
      </c>
      <c r="N4" s="20">
        <v>1672</v>
      </c>
      <c r="O4" s="20">
        <f>N4+M4+L4+J4+I4+G4+F4+E4+D4+C4</f>
        <v>186050</v>
      </c>
      <c r="P4" s="20"/>
    </row>
    <row r="5" spans="1:16" ht="15.75">
      <c r="A5" s="19">
        <v>3</v>
      </c>
      <c r="B5" s="21" t="s">
        <v>16</v>
      </c>
      <c r="C5" s="17">
        <v>159207.6</v>
      </c>
      <c r="D5" s="20">
        <v>122115.8</v>
      </c>
      <c r="E5" s="20">
        <v>78902</v>
      </c>
      <c r="F5" s="31">
        <v>1147</v>
      </c>
      <c r="G5" s="20">
        <v>9435</v>
      </c>
      <c r="H5" s="270">
        <v>2460.5</v>
      </c>
      <c r="I5" s="270">
        <v>0</v>
      </c>
      <c r="J5" s="20">
        <v>23421</v>
      </c>
      <c r="K5" s="20">
        <v>1850</v>
      </c>
      <c r="L5" s="31">
        <v>2701</v>
      </c>
      <c r="M5" s="20">
        <v>5642.5</v>
      </c>
      <c r="N5" s="20">
        <v>-1295</v>
      </c>
      <c r="O5" s="20">
        <f>M5+L5+K5+J5+I5+H5+G5+F5+E5+D5+C5</f>
        <v>406882.4</v>
      </c>
      <c r="P5" s="20"/>
    </row>
    <row r="6" spans="1:16" ht="15.75">
      <c r="A6" s="19">
        <v>4</v>
      </c>
      <c r="B6" s="21" t="s">
        <v>17</v>
      </c>
      <c r="C6" s="17">
        <v>5372</v>
      </c>
      <c r="D6" s="20">
        <v>6191.1</v>
      </c>
      <c r="E6" s="20">
        <v>19125</v>
      </c>
      <c r="F6" s="31">
        <v>0</v>
      </c>
      <c r="G6" s="20">
        <v>119</v>
      </c>
      <c r="H6" s="270">
        <v>0</v>
      </c>
      <c r="I6" s="270">
        <v>34</v>
      </c>
      <c r="J6" s="20">
        <v>-68</v>
      </c>
      <c r="K6" s="20">
        <v>85</v>
      </c>
      <c r="L6" s="31">
        <v>1836</v>
      </c>
      <c r="M6" s="20">
        <v>1564</v>
      </c>
      <c r="N6" s="20">
        <v>1912.5</v>
      </c>
      <c r="O6" s="20">
        <f>N6+M6+L6+K6+I6+H6+G6+F6+E6+D6+C6</f>
        <v>36238.6</v>
      </c>
      <c r="P6" s="20"/>
    </row>
    <row r="7" spans="1:16" ht="15.75">
      <c r="A7" s="19">
        <v>5</v>
      </c>
      <c r="B7" s="21" t="s">
        <v>18</v>
      </c>
      <c r="C7" s="17">
        <v>43557.5</v>
      </c>
      <c r="D7" s="20">
        <v>72041.5</v>
      </c>
      <c r="E7" s="20">
        <f>39705+12200</f>
        <v>51905</v>
      </c>
      <c r="F7" s="31">
        <v>200</v>
      </c>
      <c r="G7" s="20">
        <v>3280</v>
      </c>
      <c r="H7" s="270">
        <v>640</v>
      </c>
      <c r="I7" s="270">
        <v>655</v>
      </c>
      <c r="J7" s="20">
        <v>9510</v>
      </c>
      <c r="K7" s="20">
        <v>-2065</v>
      </c>
      <c r="L7" s="31">
        <v>605</v>
      </c>
      <c r="M7" s="20">
        <v>5655</v>
      </c>
      <c r="N7" s="20">
        <v>-11760</v>
      </c>
      <c r="O7" s="20">
        <f>M7+L7+J7+I7+G7+F7+E7+D7+C7+H7</f>
        <v>188049</v>
      </c>
      <c r="P7" s="20"/>
    </row>
    <row r="8" spans="1:16" ht="15.75">
      <c r="A8" s="19">
        <v>6</v>
      </c>
      <c r="B8" s="21" t="s">
        <v>19</v>
      </c>
      <c r="C8" s="17">
        <v>3820.78</v>
      </c>
      <c r="D8" s="20">
        <v>6167.14</v>
      </c>
      <c r="E8" s="20">
        <v>6668</v>
      </c>
      <c r="F8" s="31">
        <v>48</v>
      </c>
      <c r="G8" s="20">
        <v>710.4</v>
      </c>
      <c r="H8" s="270">
        <v>795.6</v>
      </c>
      <c r="I8" s="270">
        <v>43.8</v>
      </c>
      <c r="J8" s="20">
        <v>1056.5999999999999</v>
      </c>
      <c r="K8" s="20">
        <v>985.8</v>
      </c>
      <c r="L8" s="31">
        <v>297</v>
      </c>
      <c r="M8" s="20">
        <v>750</v>
      </c>
      <c r="N8" s="20">
        <v>-201</v>
      </c>
      <c r="O8" s="20">
        <f>M8+L8+K8+J8+I8+H8+G8+F8+E8+D8+C8</f>
        <v>21343.119999999999</v>
      </c>
      <c r="P8" s="20"/>
    </row>
    <row r="9" spans="1:16" ht="15.75">
      <c r="A9" s="19">
        <v>7</v>
      </c>
      <c r="B9" s="24" t="s">
        <v>20</v>
      </c>
      <c r="C9" s="17">
        <v>7798</v>
      </c>
      <c r="D9" s="20">
        <v>5880.9</v>
      </c>
      <c r="E9" s="20">
        <v>23620</v>
      </c>
      <c r="F9" s="31">
        <v>90</v>
      </c>
      <c r="G9" s="20">
        <v>780</v>
      </c>
      <c r="H9" s="270">
        <v>-10</v>
      </c>
      <c r="I9" s="270">
        <v>395</v>
      </c>
      <c r="J9" s="20">
        <v>480</v>
      </c>
      <c r="K9" s="20">
        <v>20</v>
      </c>
      <c r="L9" s="31">
        <v>650</v>
      </c>
      <c r="M9" s="20">
        <v>4940</v>
      </c>
      <c r="N9" s="20">
        <v>1900</v>
      </c>
      <c r="O9" s="20">
        <f>N9+M9+L9+K9+J9+I9+G9+F9+E9+D9+C9</f>
        <v>46553.9</v>
      </c>
      <c r="P9" s="20"/>
    </row>
    <row r="10" spans="1:16" ht="15.75">
      <c r="A10" s="19">
        <v>8</v>
      </c>
      <c r="B10" s="24" t="s">
        <v>22</v>
      </c>
      <c r="C10" s="17">
        <v>18678</v>
      </c>
      <c r="D10" s="20">
        <v>5468.7</v>
      </c>
      <c r="E10" s="20">
        <f>1485+32715</f>
        <v>34200</v>
      </c>
      <c r="F10" s="31">
        <v>7430</v>
      </c>
      <c r="G10" s="20">
        <v>2835</v>
      </c>
      <c r="H10" s="270">
        <v>245.25</v>
      </c>
      <c r="I10" s="270">
        <v>1745</v>
      </c>
      <c r="J10" s="20">
        <v>11625</v>
      </c>
      <c r="K10" s="20">
        <v>-100</v>
      </c>
      <c r="L10" s="31">
        <v>650</v>
      </c>
      <c r="M10" s="20">
        <v>15985</v>
      </c>
      <c r="N10" s="20">
        <v>-745</v>
      </c>
      <c r="O10" s="20">
        <f>M10+L10+J10+I10+H10+G10+F10+E10+D10+C10</f>
        <v>98861.95</v>
      </c>
      <c r="P10" s="20"/>
    </row>
    <row r="11" spans="1:16" ht="15.75">
      <c r="A11" s="19">
        <v>9</v>
      </c>
      <c r="B11" s="24" t="s">
        <v>23</v>
      </c>
      <c r="C11" s="17">
        <v>0</v>
      </c>
      <c r="D11" s="20">
        <v>1823.2</v>
      </c>
      <c r="E11" s="20">
        <v>1333</v>
      </c>
      <c r="F11" s="31">
        <v>0</v>
      </c>
      <c r="G11" s="20">
        <v>349.6</v>
      </c>
      <c r="H11" s="270">
        <v>79.2</v>
      </c>
      <c r="I11" s="270">
        <v>20.8</v>
      </c>
      <c r="J11" s="20">
        <v>1002.4</v>
      </c>
      <c r="K11" s="20">
        <v>274.39999999999998</v>
      </c>
      <c r="L11" s="31">
        <v>0</v>
      </c>
      <c r="M11" s="20">
        <v>1783.2</v>
      </c>
      <c r="N11" s="20">
        <v>82.4</v>
      </c>
      <c r="O11" s="20">
        <f>N11+M11+L11+K11+J11+I11+H11+G11+F11+E11+D11+C11</f>
        <v>6748.2</v>
      </c>
      <c r="P11" s="20"/>
    </row>
    <row r="12" spans="1:16" ht="15.75">
      <c r="A12" s="19">
        <v>10</v>
      </c>
      <c r="B12" s="24" t="s">
        <v>25</v>
      </c>
      <c r="C12" s="17">
        <v>6455.4</v>
      </c>
      <c r="D12" s="20">
        <v>7026.4</v>
      </c>
      <c r="E12" s="20">
        <v>1200</v>
      </c>
      <c r="F12" s="31">
        <v>0</v>
      </c>
      <c r="G12" s="20">
        <v>2319</v>
      </c>
      <c r="H12" s="270">
        <v>15.5</v>
      </c>
      <c r="I12" s="270">
        <v>431</v>
      </c>
      <c r="J12" s="20">
        <v>8336</v>
      </c>
      <c r="K12" s="20">
        <v>4467.75</v>
      </c>
      <c r="L12" s="31">
        <v>0</v>
      </c>
      <c r="M12" s="20">
        <v>80</v>
      </c>
      <c r="N12" s="20">
        <v>55</v>
      </c>
      <c r="O12" s="20">
        <f>N12+M12+L12+K12+J12+I12+G12+F12+E12+D12+C12+H12</f>
        <v>30386.050000000003</v>
      </c>
      <c r="P12" s="20"/>
    </row>
    <row r="13" spans="1:16" ht="15.75">
      <c r="A13" s="19">
        <v>11</v>
      </c>
      <c r="B13" s="24" t="s">
        <v>26</v>
      </c>
      <c r="C13" s="17">
        <v>8598</v>
      </c>
      <c r="D13" s="20">
        <v>7700</v>
      </c>
      <c r="E13" s="20">
        <v>19388</v>
      </c>
      <c r="F13" s="31">
        <v>300</v>
      </c>
      <c r="G13" s="20">
        <v>3342</v>
      </c>
      <c r="H13" s="270">
        <v>31.09</v>
      </c>
      <c r="I13" s="270">
        <v>7</v>
      </c>
      <c r="J13" s="20">
        <v>8558</v>
      </c>
      <c r="K13" s="20">
        <v>6997.56</v>
      </c>
      <c r="L13" s="31">
        <v>960</v>
      </c>
      <c r="M13" s="20">
        <v>7129</v>
      </c>
      <c r="N13" s="20">
        <v>430</v>
      </c>
      <c r="O13" s="20">
        <f>N13+M13+L13+K13+J13+I13+H13+G13+F13+E13+D13+C13</f>
        <v>63440.65</v>
      </c>
      <c r="P13" s="20"/>
    </row>
    <row r="14" spans="1:16" ht="15.75">
      <c r="A14" s="19">
        <v>12</v>
      </c>
      <c r="B14" s="21" t="s">
        <v>27</v>
      </c>
      <c r="C14" s="17">
        <v>67</v>
      </c>
      <c r="D14" s="20">
        <v>1263</v>
      </c>
      <c r="E14" s="20">
        <v>0</v>
      </c>
      <c r="F14" s="31">
        <v>1072</v>
      </c>
      <c r="G14" s="20">
        <v>0</v>
      </c>
      <c r="H14" s="270">
        <v>15</v>
      </c>
      <c r="I14" s="270">
        <v>0</v>
      </c>
      <c r="J14" s="20">
        <v>0</v>
      </c>
      <c r="K14" s="20">
        <v>0</v>
      </c>
      <c r="L14" s="31">
        <v>0</v>
      </c>
      <c r="M14" s="20">
        <v>0</v>
      </c>
      <c r="N14" s="20">
        <v>0</v>
      </c>
      <c r="O14" s="20">
        <f>N14+M14+L14+K14+J14+I14+H14+G14+F14+E14+D14+C14</f>
        <v>2417</v>
      </c>
      <c r="P14" s="20"/>
    </row>
    <row r="15" spans="1:16" ht="15.75">
      <c r="A15" s="19">
        <v>13</v>
      </c>
      <c r="B15" s="25" t="s">
        <v>28</v>
      </c>
      <c r="C15" s="17">
        <v>34806</v>
      </c>
      <c r="D15" s="20">
        <v>90145</v>
      </c>
      <c r="E15" s="20">
        <v>60146</v>
      </c>
      <c r="F15" s="31">
        <v>2969</v>
      </c>
      <c r="G15" s="20">
        <v>6975</v>
      </c>
      <c r="H15" s="270">
        <v>-1439</v>
      </c>
      <c r="I15" s="270">
        <v>-205</v>
      </c>
      <c r="J15" s="20">
        <v>20679</v>
      </c>
      <c r="K15" s="20">
        <v>10149</v>
      </c>
      <c r="L15" s="31">
        <v>3570</v>
      </c>
      <c r="M15" s="20">
        <v>12189</v>
      </c>
      <c r="N15" s="20">
        <v>7743.5</v>
      </c>
      <c r="O15" s="20">
        <f>N15+M15+L15+K15+J15+G15+F15+E15+D15+C15</f>
        <v>249371.5</v>
      </c>
      <c r="P15" s="20"/>
    </row>
    <row r="16" spans="1:16" ht="15.75">
      <c r="A16" s="19">
        <v>14</v>
      </c>
      <c r="B16" s="25" t="s">
        <v>29</v>
      </c>
      <c r="C16" s="17">
        <v>4320</v>
      </c>
      <c r="D16" s="20">
        <v>7993</v>
      </c>
      <c r="E16" s="20">
        <v>90</v>
      </c>
      <c r="F16" s="31">
        <v>0</v>
      </c>
      <c r="G16" s="20">
        <v>0</v>
      </c>
      <c r="H16" s="270">
        <v>198</v>
      </c>
      <c r="I16" s="270">
        <v>414</v>
      </c>
      <c r="J16" s="20">
        <v>0</v>
      </c>
      <c r="K16" s="20">
        <v>18</v>
      </c>
      <c r="L16" s="31">
        <v>0</v>
      </c>
      <c r="M16" s="20">
        <v>0</v>
      </c>
      <c r="N16" s="20">
        <v>0</v>
      </c>
      <c r="O16" s="20">
        <f>N16+M16+L16+K16+J16+I16+H16+G16+F16+E16+D16+C16</f>
        <v>13033</v>
      </c>
      <c r="P16" s="20"/>
    </row>
    <row r="17" spans="1:16" ht="15.75">
      <c r="A17" s="19">
        <v>15</v>
      </c>
      <c r="B17" s="25" t="s">
        <v>30</v>
      </c>
      <c r="C17" s="17">
        <v>46503.1</v>
      </c>
      <c r="D17" s="20">
        <v>41351</v>
      </c>
      <c r="E17" s="20">
        <f>97586+281</f>
        <v>97867</v>
      </c>
      <c r="F17" s="31">
        <v>8408</v>
      </c>
      <c r="G17" s="20">
        <v>14165</v>
      </c>
      <c r="H17" s="270">
        <v>3908.89</v>
      </c>
      <c r="I17" s="270">
        <v>366</v>
      </c>
      <c r="J17" s="20">
        <v>42657</v>
      </c>
      <c r="K17" s="20">
        <v>18963.25</v>
      </c>
      <c r="L17" s="31">
        <v>3500</v>
      </c>
      <c r="M17" s="20">
        <v>32318</v>
      </c>
      <c r="N17" s="20">
        <v>1535.3</v>
      </c>
      <c r="O17" s="20">
        <f>N17+M17+L17+K17+J17+I17+H17+G17+F17+E17+D17+C17</f>
        <v>311542.53999999998</v>
      </c>
      <c r="P17" s="20"/>
    </row>
    <row r="18" spans="1:16" ht="15.75">
      <c r="A18" s="19">
        <v>16</v>
      </c>
      <c r="B18" s="25" t="s">
        <v>31</v>
      </c>
      <c r="C18" s="17">
        <v>24235.8</v>
      </c>
      <c r="D18" s="20">
        <v>40299</v>
      </c>
      <c r="E18" s="20">
        <v>56813</v>
      </c>
      <c r="F18" s="31">
        <v>8178</v>
      </c>
      <c r="G18" s="20">
        <v>7225</v>
      </c>
      <c r="H18" s="270">
        <v>-153.30000000000001</v>
      </c>
      <c r="I18" s="270">
        <v>4.34</v>
      </c>
      <c r="J18" s="20">
        <v>21727</v>
      </c>
      <c r="K18" s="20">
        <v>1713</v>
      </c>
      <c r="L18" s="31">
        <v>2243</v>
      </c>
      <c r="M18" s="20">
        <v>12145</v>
      </c>
      <c r="N18" s="20">
        <v>2848</v>
      </c>
      <c r="O18" s="20">
        <f>N18+M18+L18+K18+J18+I18+G18+F18+E18+D18+C18</f>
        <v>177431.13999999998</v>
      </c>
      <c r="P18" s="20"/>
    </row>
    <row r="19" spans="1:16" ht="15.75">
      <c r="A19" s="19">
        <v>17</v>
      </c>
      <c r="B19" s="25" t="s">
        <v>32</v>
      </c>
      <c r="C19" s="17">
        <v>3140</v>
      </c>
      <c r="D19" s="20">
        <v>13165</v>
      </c>
      <c r="E19" s="20">
        <v>0</v>
      </c>
      <c r="F19" s="31">
        <v>3826</v>
      </c>
      <c r="G19" s="20">
        <v>0</v>
      </c>
      <c r="H19" s="270">
        <v>0</v>
      </c>
      <c r="I19" s="270">
        <v>100</v>
      </c>
      <c r="J19" s="20">
        <v>0</v>
      </c>
      <c r="K19" s="20">
        <v>4554.4799999999996</v>
      </c>
      <c r="L19" s="31">
        <v>0</v>
      </c>
      <c r="M19" s="20">
        <v>0</v>
      </c>
      <c r="N19" s="20">
        <v>1450</v>
      </c>
      <c r="O19" s="20">
        <f>N19+M19+L19+K19+J19+I19+H19+G19+F19+E19+D19+C19</f>
        <v>26235.48</v>
      </c>
      <c r="P19" s="20"/>
    </row>
    <row r="20" spans="1:16" ht="15.75">
      <c r="A20" s="19">
        <v>18</v>
      </c>
      <c r="B20" s="25" t="s">
        <v>33</v>
      </c>
      <c r="C20" s="17">
        <v>10926</v>
      </c>
      <c r="D20" s="20">
        <v>33540</v>
      </c>
      <c r="E20" s="20">
        <v>8038</v>
      </c>
      <c r="F20" s="31">
        <v>0</v>
      </c>
      <c r="G20" s="20">
        <v>5120</v>
      </c>
      <c r="H20" s="270">
        <v>386.51</v>
      </c>
      <c r="I20" s="270">
        <v>376</v>
      </c>
      <c r="J20" s="20">
        <v>12878</v>
      </c>
      <c r="K20" s="20">
        <v>0</v>
      </c>
      <c r="L20" s="31">
        <v>0</v>
      </c>
      <c r="M20" s="20">
        <v>19287</v>
      </c>
      <c r="N20" s="20">
        <v>-4481.2</v>
      </c>
      <c r="O20" s="20">
        <f>M20+L20+K20+J20+I20+H20+G20+F20+E20+D20+C20</f>
        <v>90551.510000000009</v>
      </c>
      <c r="P20" s="20"/>
    </row>
    <row r="21" spans="1:16" ht="15.75">
      <c r="A21" s="19">
        <v>19</v>
      </c>
      <c r="B21" s="25" t="s">
        <v>34</v>
      </c>
      <c r="C21" s="17">
        <v>0</v>
      </c>
      <c r="D21" s="20">
        <v>2544</v>
      </c>
      <c r="E21" s="20">
        <v>0</v>
      </c>
      <c r="F21" s="31">
        <v>0</v>
      </c>
      <c r="G21" s="20">
        <v>0</v>
      </c>
      <c r="H21" s="270">
        <v>0</v>
      </c>
      <c r="I21" s="270">
        <v>0</v>
      </c>
      <c r="J21" s="20">
        <v>470</v>
      </c>
      <c r="K21" s="20">
        <v>0</v>
      </c>
      <c r="L21" s="31">
        <v>0</v>
      </c>
      <c r="M21" s="20">
        <v>0</v>
      </c>
      <c r="N21" s="20">
        <v>1817.35</v>
      </c>
      <c r="O21" s="20">
        <f>N21+M21+L21+K21+J21+I21+H21+G21+F21+E21+D21+C21</f>
        <v>4831.3500000000004</v>
      </c>
      <c r="P21" s="20"/>
    </row>
    <row r="22" spans="1:16" ht="15.75">
      <c r="A22" s="19">
        <v>20</v>
      </c>
      <c r="B22" s="25" t="s">
        <v>35</v>
      </c>
      <c r="C22" s="17">
        <v>4810</v>
      </c>
      <c r="D22" s="20">
        <v>9569</v>
      </c>
      <c r="E22" s="20">
        <v>0</v>
      </c>
      <c r="F22" s="31">
        <v>0</v>
      </c>
      <c r="G22" s="20">
        <v>0</v>
      </c>
      <c r="H22" s="270">
        <v>0</v>
      </c>
      <c r="I22" s="270">
        <v>0</v>
      </c>
      <c r="J22" s="20">
        <v>0</v>
      </c>
      <c r="K22" s="20">
        <v>1184.2</v>
      </c>
      <c r="L22" s="31">
        <v>0</v>
      </c>
      <c r="M22" s="20">
        <v>0</v>
      </c>
      <c r="N22" s="20">
        <v>221</v>
      </c>
      <c r="O22" s="20">
        <f>N22+M22+L22+K22+J22+I22+H22+G22+F22+E22+D22+C22</f>
        <v>15784.2</v>
      </c>
      <c r="P22" s="20"/>
    </row>
    <row r="23" spans="1:16" ht="15.75">
      <c r="A23" s="19">
        <v>21</v>
      </c>
      <c r="B23" s="25" t="s">
        <v>36</v>
      </c>
      <c r="C23" s="17">
        <v>210</v>
      </c>
      <c r="D23" s="20">
        <v>0</v>
      </c>
      <c r="E23" s="20">
        <v>0</v>
      </c>
      <c r="F23" s="31">
        <v>0</v>
      </c>
      <c r="G23" s="20">
        <v>30</v>
      </c>
      <c r="H23" s="270">
        <v>0</v>
      </c>
      <c r="I23" s="270">
        <v>0</v>
      </c>
      <c r="J23" s="20">
        <v>0</v>
      </c>
      <c r="K23" s="20">
        <v>0</v>
      </c>
      <c r="L23" s="31">
        <v>0</v>
      </c>
      <c r="M23" s="20">
        <v>0</v>
      </c>
      <c r="N23" s="20">
        <v>1680</v>
      </c>
      <c r="O23" s="20">
        <f>N23+M23+L23+K23+J23+H23+I23+G23+F23+E23+D23+C23</f>
        <v>1920</v>
      </c>
      <c r="P23" s="20"/>
    </row>
    <row r="24" spans="1:16" ht="15.75">
      <c r="A24" s="19">
        <v>22</v>
      </c>
      <c r="B24" s="25" t="s">
        <v>37</v>
      </c>
      <c r="C24" s="17">
        <v>1318</v>
      </c>
      <c r="D24" s="20">
        <v>2423</v>
      </c>
      <c r="E24" s="20">
        <v>4792</v>
      </c>
      <c r="F24" s="31">
        <v>175</v>
      </c>
      <c r="G24" s="20">
        <v>443</v>
      </c>
      <c r="H24" s="270">
        <v>0</v>
      </c>
      <c r="I24" s="270">
        <v>0</v>
      </c>
      <c r="J24" s="20">
        <v>2622</v>
      </c>
      <c r="K24" s="20">
        <v>0</v>
      </c>
      <c r="L24" s="31">
        <v>0</v>
      </c>
      <c r="M24" s="20">
        <v>746</v>
      </c>
      <c r="N24" s="20">
        <v>2260</v>
      </c>
      <c r="O24" s="20">
        <f>N24+M24+L24+K24+J24+I24+H24+G24+F24+E24+D24+C24</f>
        <v>14779</v>
      </c>
      <c r="P24" s="20"/>
    </row>
    <row r="25" spans="1:16" ht="15.75">
      <c r="A25" s="19">
        <v>23</v>
      </c>
      <c r="B25" s="21" t="s">
        <v>38</v>
      </c>
      <c r="C25" s="17">
        <v>102</v>
      </c>
      <c r="D25" s="20">
        <v>2829</v>
      </c>
      <c r="E25" s="20">
        <v>80</v>
      </c>
      <c r="F25" s="31">
        <v>0</v>
      </c>
      <c r="G25" s="20">
        <v>0</v>
      </c>
      <c r="H25" s="270">
        <v>93.8</v>
      </c>
      <c r="I25" s="270">
        <v>0</v>
      </c>
      <c r="J25" s="20">
        <v>0</v>
      </c>
      <c r="K25" s="20">
        <v>0</v>
      </c>
      <c r="L25" s="31">
        <v>0</v>
      </c>
      <c r="M25" s="20">
        <v>0</v>
      </c>
      <c r="N25" s="20">
        <v>0</v>
      </c>
      <c r="O25" s="20">
        <f>M25+L25+K25+J25+H25+G25+F25+E25+D25+C25</f>
        <v>3104.8</v>
      </c>
      <c r="P25" s="20"/>
    </row>
    <row r="26" spans="1:16" ht="15.75">
      <c r="A26" s="19">
        <v>24</v>
      </c>
      <c r="B26" s="21" t="s">
        <v>39</v>
      </c>
      <c r="C26" s="17">
        <v>347.2</v>
      </c>
      <c r="D26" s="20">
        <v>681.8</v>
      </c>
      <c r="E26" s="20">
        <v>830</v>
      </c>
      <c r="F26" s="31">
        <v>243.6</v>
      </c>
      <c r="G26" s="20">
        <v>196</v>
      </c>
      <c r="H26" s="270">
        <v>-37.799999999999997</v>
      </c>
      <c r="I26" s="270">
        <v>338.8</v>
      </c>
      <c r="J26" s="20">
        <v>303.75</v>
      </c>
      <c r="K26" s="20">
        <v>193.2</v>
      </c>
      <c r="L26" s="31">
        <v>0</v>
      </c>
      <c r="M26" s="20">
        <v>0</v>
      </c>
      <c r="N26" s="20">
        <v>0</v>
      </c>
      <c r="O26" s="269">
        <f>M26+L26+K26+J26+I26+G26+F26+E26+D26+C26</f>
        <v>3134.3499999999995</v>
      </c>
      <c r="P26" s="20"/>
    </row>
    <row r="27" spans="1:16" ht="15.75">
      <c r="A27" s="19">
        <v>25</v>
      </c>
      <c r="B27" s="21" t="s">
        <v>40</v>
      </c>
      <c r="C27" s="17">
        <v>1321.6</v>
      </c>
      <c r="D27" s="20">
        <v>2225.1999999999998</v>
      </c>
      <c r="E27" s="20">
        <v>10</v>
      </c>
      <c r="F27" s="31">
        <v>0</v>
      </c>
      <c r="G27" s="20">
        <v>60</v>
      </c>
      <c r="H27" s="270">
        <v>114</v>
      </c>
      <c r="I27" s="270">
        <v>0</v>
      </c>
      <c r="J27" s="20">
        <v>0</v>
      </c>
      <c r="K27" s="20">
        <v>722.8</v>
      </c>
      <c r="L27" s="31">
        <v>0</v>
      </c>
      <c r="M27" s="20">
        <v>0</v>
      </c>
      <c r="N27" s="20">
        <v>226</v>
      </c>
      <c r="O27" s="269">
        <f>N27+K27+G27+F27+E27+D27+C27+H27</f>
        <v>4679.6000000000004</v>
      </c>
      <c r="P27" s="20"/>
    </row>
    <row r="28" spans="1:16" ht="15.75">
      <c r="A28" s="19">
        <v>26</v>
      </c>
      <c r="B28" s="21" t="s">
        <v>41</v>
      </c>
      <c r="C28" s="17">
        <v>0</v>
      </c>
      <c r="D28" s="20">
        <v>0</v>
      </c>
      <c r="E28" s="20">
        <v>0</v>
      </c>
      <c r="F28" s="31">
        <v>0</v>
      </c>
      <c r="G28" s="20">
        <v>0</v>
      </c>
      <c r="H28" s="270">
        <v>0</v>
      </c>
      <c r="I28" s="270">
        <v>0</v>
      </c>
      <c r="J28" s="20">
        <v>0</v>
      </c>
      <c r="K28" s="20">
        <v>0</v>
      </c>
      <c r="L28" s="31">
        <v>0</v>
      </c>
      <c r="M28" s="20">
        <v>0</v>
      </c>
      <c r="N28" s="20">
        <v>0</v>
      </c>
      <c r="O28" s="269">
        <f>H28+E28</f>
        <v>0</v>
      </c>
      <c r="P28" s="20"/>
    </row>
    <row r="29" spans="1:16" ht="15.75">
      <c r="A29" s="19">
        <v>27</v>
      </c>
      <c r="B29" s="21" t="s">
        <v>42</v>
      </c>
      <c r="C29" s="20">
        <v>3194.4</v>
      </c>
      <c r="D29" s="20">
        <v>4183.2</v>
      </c>
      <c r="E29" s="19">
        <v>64</v>
      </c>
      <c r="F29" s="31">
        <v>278</v>
      </c>
      <c r="G29" s="20">
        <v>667.2</v>
      </c>
      <c r="H29" s="27">
        <v>782.4</v>
      </c>
      <c r="I29" s="27">
        <v>372</v>
      </c>
      <c r="J29" s="20">
        <v>2168.4</v>
      </c>
      <c r="K29" s="20">
        <v>1393.8</v>
      </c>
      <c r="L29" s="31">
        <v>0</v>
      </c>
      <c r="M29" s="19">
        <v>286</v>
      </c>
      <c r="N29" s="27">
        <v>0</v>
      </c>
      <c r="O29" s="30">
        <f>M29+K29+J29+I29+H29+G29+D29+C29+F29+E29</f>
        <v>13389.4</v>
      </c>
      <c r="P29" s="20"/>
    </row>
    <row r="30" spans="1:16">
      <c r="A30" s="20"/>
      <c r="B30" s="20"/>
      <c r="C30" s="188">
        <f>SUM(C3:C29)</f>
        <v>554376.06000000006</v>
      </c>
      <c r="D30" s="175">
        <f>SUM(D3:D29)</f>
        <v>688269.94</v>
      </c>
      <c r="E30" s="176">
        <f>SUM(E3:E29)</f>
        <v>658859</v>
      </c>
      <c r="F30" s="176">
        <f>SUM(F3:F29)</f>
        <v>56312.6</v>
      </c>
      <c r="G30" s="175">
        <f>SUM(G3:G29)</f>
        <v>94071.2</v>
      </c>
      <c r="H30" s="188">
        <f>H5+H8+H10+H11+H13+H14+H16+H17+H20+H25+H28+H29+H27+H7+H12</f>
        <v>9765.74</v>
      </c>
      <c r="I30" s="175">
        <f>SUM(I3:I29)</f>
        <v>4803.84</v>
      </c>
      <c r="J30" s="175">
        <f>SUM(J3:J29)</f>
        <v>283344.55000000005</v>
      </c>
      <c r="K30" s="175">
        <f>K5+K6+K8+K9+K11+K12+K13+K15+K16+K17+K18+K19+K22+K26+K27+K29</f>
        <v>53572.240000000005</v>
      </c>
      <c r="L30" s="175">
        <f>SUM(L3:L29)</f>
        <v>39547</v>
      </c>
      <c r="M30" s="175">
        <f>SUM(M3:M29)</f>
        <v>193685.7</v>
      </c>
      <c r="N30" s="188">
        <f>N3+N4+N6+N9+N11+N12+N13+N15+N17+N18+N19+N21+N22+N23+N24+N27+N29</f>
        <v>29498.399999999998</v>
      </c>
      <c r="O30" s="188">
        <f>SUM(O3:O29)</f>
        <v>2666673.17</v>
      </c>
      <c r="P30" s="30"/>
    </row>
    <row r="31" spans="1:16">
      <c r="A31" s="28"/>
      <c r="B31" s="28"/>
      <c r="C31" s="28"/>
      <c r="D31" s="28"/>
      <c r="E31" s="28"/>
      <c r="F31" s="19"/>
      <c r="G31" s="28"/>
      <c r="H31" s="28"/>
      <c r="I31" s="28"/>
      <c r="J31" s="28"/>
      <c r="K31" s="28"/>
      <c r="L31" s="28"/>
      <c r="M31" s="28"/>
      <c r="N31" s="28"/>
      <c r="O31" s="40"/>
      <c r="P31" s="28"/>
    </row>
    <row r="32" spans="1:16">
      <c r="F32" s="45"/>
      <c r="O32" s="43"/>
    </row>
    <row r="34" spans="1:14">
      <c r="D34" t="s">
        <v>213</v>
      </c>
    </row>
    <row r="35" spans="1:14">
      <c r="A35" s="176" t="s">
        <v>1</v>
      </c>
      <c r="B35" s="191" t="s">
        <v>3</v>
      </c>
      <c r="C35" s="176" t="s">
        <v>224</v>
      </c>
      <c r="D35" s="176" t="s">
        <v>225</v>
      </c>
      <c r="E35" s="176" t="s">
        <v>226</v>
      </c>
      <c r="F35" s="176" t="s">
        <v>227</v>
      </c>
      <c r="G35" s="176" t="s">
        <v>228</v>
      </c>
      <c r="H35" s="176" t="s">
        <v>120</v>
      </c>
      <c r="I35" s="176" t="s">
        <v>229</v>
      </c>
      <c r="J35" s="176" t="s">
        <v>118</v>
      </c>
      <c r="K35" s="176" t="s">
        <v>117</v>
      </c>
      <c r="L35" s="176" t="s">
        <v>230</v>
      </c>
      <c r="M35" s="176" t="s">
        <v>110</v>
      </c>
      <c r="N35" s="191" t="s">
        <v>211</v>
      </c>
    </row>
    <row r="36" spans="1:14">
      <c r="A36" s="19">
        <v>1</v>
      </c>
      <c r="B36" s="28" t="s">
        <v>14</v>
      </c>
      <c r="C36" s="19">
        <v>3650</v>
      </c>
      <c r="D36" s="19">
        <v>0</v>
      </c>
      <c r="E36" s="19">
        <v>228</v>
      </c>
      <c r="F36" s="19">
        <v>2633</v>
      </c>
      <c r="G36" s="19">
        <v>2863</v>
      </c>
      <c r="H36" s="19">
        <v>0</v>
      </c>
      <c r="I36" s="19">
        <v>0</v>
      </c>
      <c r="J36" s="19">
        <v>0</v>
      </c>
      <c r="K36" s="19">
        <v>0</v>
      </c>
      <c r="L36" s="19">
        <v>4851.99</v>
      </c>
      <c r="M36" s="19">
        <v>14225.99</v>
      </c>
      <c r="N36" s="28"/>
    </row>
    <row r="37" spans="1:14">
      <c r="A37" s="19">
        <v>2</v>
      </c>
      <c r="B37" s="28" t="s">
        <v>15</v>
      </c>
      <c r="C37" s="19">
        <v>1330</v>
      </c>
      <c r="D37" s="19">
        <v>0</v>
      </c>
      <c r="E37" s="19">
        <v>0</v>
      </c>
      <c r="F37" s="19">
        <v>0</v>
      </c>
      <c r="G37" s="19">
        <v>1235</v>
      </c>
      <c r="H37" s="19">
        <v>0</v>
      </c>
      <c r="I37" s="19">
        <v>0</v>
      </c>
      <c r="J37" s="19">
        <v>0</v>
      </c>
      <c r="K37" s="19">
        <v>0</v>
      </c>
      <c r="L37" s="19">
        <v>4657</v>
      </c>
      <c r="M37" s="19">
        <v>7222</v>
      </c>
      <c r="N37" s="28"/>
    </row>
    <row r="38" spans="1:14">
      <c r="A38" s="19">
        <v>3</v>
      </c>
      <c r="B38" s="28" t="s">
        <v>16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481</v>
      </c>
      <c r="M38" s="19">
        <v>481</v>
      </c>
      <c r="N38" s="28"/>
    </row>
    <row r="39" spans="1:14">
      <c r="A39" s="19">
        <v>4</v>
      </c>
      <c r="B39" s="28" t="s">
        <v>17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255</v>
      </c>
      <c r="M39" s="19">
        <v>255</v>
      </c>
      <c r="N39" s="28"/>
    </row>
    <row r="40" spans="1:14">
      <c r="A40" s="19">
        <v>5</v>
      </c>
      <c r="B40" s="28" t="s">
        <v>18</v>
      </c>
      <c r="C40" s="19">
        <v>0</v>
      </c>
      <c r="D40" s="19">
        <v>0</v>
      </c>
      <c r="E40" s="19">
        <v>0</v>
      </c>
      <c r="F40" s="19">
        <v>680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185</v>
      </c>
      <c r="M40" s="19">
        <v>865</v>
      </c>
      <c r="N40" s="28"/>
    </row>
    <row r="41" spans="1:14">
      <c r="A41" s="19">
        <v>6</v>
      </c>
      <c r="B41" s="28" t="s">
        <v>19</v>
      </c>
      <c r="C41" s="19">
        <v>0</v>
      </c>
      <c r="D41" s="19">
        <v>0</v>
      </c>
      <c r="E41" s="19">
        <v>0</v>
      </c>
      <c r="F41" s="19">
        <v>1.2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76.8</v>
      </c>
      <c r="M41" s="19">
        <v>78</v>
      </c>
      <c r="N41" s="28"/>
    </row>
    <row r="42" spans="1:14">
      <c r="A42" s="19">
        <v>7</v>
      </c>
      <c r="B42" s="28" t="s">
        <v>20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190</v>
      </c>
      <c r="M42" s="19">
        <v>190</v>
      </c>
      <c r="N42" s="28"/>
    </row>
    <row r="43" spans="1:14">
      <c r="A43" s="19">
        <v>8</v>
      </c>
      <c r="B43" s="28" t="s">
        <v>22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2000</v>
      </c>
      <c r="I43" s="19">
        <v>0</v>
      </c>
      <c r="J43" s="19">
        <v>0</v>
      </c>
      <c r="K43" s="19">
        <v>0</v>
      </c>
      <c r="L43" s="19">
        <v>175</v>
      </c>
      <c r="M43" s="19">
        <v>2175</v>
      </c>
      <c r="N43" s="28"/>
    </row>
    <row r="44" spans="1:14">
      <c r="A44" s="19">
        <v>9</v>
      </c>
      <c r="B44" s="28" t="s">
        <v>23</v>
      </c>
      <c r="C44" s="19">
        <v>0</v>
      </c>
      <c r="D44" s="19">
        <v>0</v>
      </c>
      <c r="E44" s="19">
        <v>0</v>
      </c>
      <c r="F44" s="19">
        <v>0.8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0.8</v>
      </c>
      <c r="N44" s="28"/>
    </row>
    <row r="45" spans="1:14">
      <c r="A45" s="19">
        <v>10</v>
      </c>
      <c r="B45" s="28" t="s">
        <v>25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28"/>
    </row>
    <row r="46" spans="1:14">
      <c r="A46" s="19">
        <v>11</v>
      </c>
      <c r="B46" s="28" t="s">
        <v>26</v>
      </c>
      <c r="C46" s="19">
        <v>360</v>
      </c>
      <c r="D46" s="19">
        <v>0</v>
      </c>
      <c r="E46" s="19">
        <v>0</v>
      </c>
      <c r="F46" s="19">
        <v>384</v>
      </c>
      <c r="G46" s="19">
        <v>354</v>
      </c>
      <c r="H46" s="19">
        <v>0</v>
      </c>
      <c r="I46" s="19">
        <v>0</v>
      </c>
      <c r="J46" s="19">
        <v>0</v>
      </c>
      <c r="K46" s="19">
        <v>0</v>
      </c>
      <c r="L46" s="19">
        <v>80</v>
      </c>
      <c r="M46" s="19">
        <v>1178</v>
      </c>
      <c r="N46" s="28"/>
    </row>
    <row r="47" spans="1:14">
      <c r="A47" s="19">
        <v>12</v>
      </c>
      <c r="B47" s="28" t="s">
        <v>27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28"/>
    </row>
    <row r="48" spans="1:14">
      <c r="A48" s="19">
        <v>13</v>
      </c>
      <c r="B48" s="28" t="s">
        <v>28</v>
      </c>
      <c r="C48" s="19">
        <v>3740</v>
      </c>
      <c r="D48" s="19">
        <v>544</v>
      </c>
      <c r="E48" s="19">
        <v>782</v>
      </c>
      <c r="F48" s="19">
        <v>425</v>
      </c>
      <c r="G48" s="19">
        <v>1802</v>
      </c>
      <c r="H48" s="19">
        <v>0</v>
      </c>
      <c r="I48" s="19">
        <v>190</v>
      </c>
      <c r="J48" s="19">
        <v>255</v>
      </c>
      <c r="K48" s="19">
        <v>170</v>
      </c>
      <c r="L48" s="19">
        <v>1588</v>
      </c>
      <c r="M48" s="19">
        <v>9496</v>
      </c>
      <c r="N48" s="28"/>
    </row>
    <row r="49" spans="1:14">
      <c r="A49" s="19">
        <v>14</v>
      </c>
      <c r="B49" s="28" t="s">
        <v>29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28"/>
    </row>
    <row r="50" spans="1:14">
      <c r="A50" s="19">
        <v>15</v>
      </c>
      <c r="B50" s="28" t="s">
        <v>30</v>
      </c>
      <c r="C50" s="19">
        <v>369</v>
      </c>
      <c r="D50" s="19">
        <v>0</v>
      </c>
      <c r="E50" s="19">
        <v>0</v>
      </c>
      <c r="F50" s="19">
        <v>230</v>
      </c>
      <c r="G50" s="19">
        <v>150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749</v>
      </c>
      <c r="N50" s="28"/>
    </row>
    <row r="51" spans="1:14">
      <c r="A51" s="19">
        <v>16</v>
      </c>
      <c r="B51" s="28" t="s">
        <v>31</v>
      </c>
      <c r="C51" s="19">
        <v>0</v>
      </c>
      <c r="D51" s="19">
        <v>0</v>
      </c>
      <c r="E51" s="19">
        <v>0</v>
      </c>
      <c r="F51" s="19">
        <v>530</v>
      </c>
      <c r="G51" s="19">
        <v>0</v>
      </c>
      <c r="H51" s="19">
        <v>5364</v>
      </c>
      <c r="I51" s="19">
        <v>0</v>
      </c>
      <c r="J51" s="19">
        <v>0</v>
      </c>
      <c r="K51" s="19">
        <v>0</v>
      </c>
      <c r="L51" s="19">
        <v>3998.44</v>
      </c>
      <c r="M51" s="19">
        <v>9892.44</v>
      </c>
      <c r="N51" s="28"/>
    </row>
    <row r="52" spans="1:14">
      <c r="A52" s="19">
        <v>17</v>
      </c>
      <c r="B52" s="28" t="s">
        <v>32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28"/>
    </row>
    <row r="53" spans="1:14">
      <c r="A53" s="19">
        <v>18</v>
      </c>
      <c r="B53" s="28" t="s">
        <v>33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28"/>
    </row>
    <row r="54" spans="1:14">
      <c r="A54" s="19">
        <v>19</v>
      </c>
      <c r="B54" s="28" t="s">
        <v>34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28"/>
    </row>
    <row r="55" spans="1:14">
      <c r="A55" s="19">
        <v>20</v>
      </c>
      <c r="B55" s="28" t="s">
        <v>35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28"/>
    </row>
    <row r="56" spans="1:14">
      <c r="A56" s="19">
        <v>21</v>
      </c>
      <c r="B56" s="28" t="s">
        <v>36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28"/>
    </row>
    <row r="57" spans="1:14">
      <c r="A57" s="19">
        <v>22</v>
      </c>
      <c r="B57" s="28" t="s">
        <v>37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28"/>
    </row>
    <row r="58" spans="1:14">
      <c r="A58" s="19">
        <v>23</v>
      </c>
      <c r="B58" s="28" t="s">
        <v>38</v>
      </c>
      <c r="C58" s="19" t="s">
        <v>231</v>
      </c>
      <c r="D58" s="19">
        <v>0</v>
      </c>
      <c r="E58" s="19">
        <v>18</v>
      </c>
      <c r="F58" s="19">
        <v>0</v>
      </c>
      <c r="G58" s="19">
        <v>60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78</v>
      </c>
      <c r="N58" s="28"/>
    </row>
    <row r="59" spans="1:14">
      <c r="A59" s="19">
        <v>24</v>
      </c>
      <c r="B59" s="28" t="s">
        <v>39</v>
      </c>
      <c r="C59" s="19">
        <v>84</v>
      </c>
      <c r="D59" s="19">
        <v>0</v>
      </c>
      <c r="E59" s="19">
        <v>0</v>
      </c>
      <c r="F59" s="19">
        <v>0</v>
      </c>
      <c r="G59" s="19">
        <v>84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168</v>
      </c>
      <c r="N59" s="28"/>
    </row>
    <row r="60" spans="1:14">
      <c r="A60" s="19">
        <v>25</v>
      </c>
      <c r="B60" s="28" t="s">
        <v>40</v>
      </c>
      <c r="C60" s="19" t="s">
        <v>231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28"/>
    </row>
    <row r="61" spans="1:14">
      <c r="A61" s="19">
        <v>26</v>
      </c>
      <c r="B61" s="28" t="s">
        <v>41</v>
      </c>
      <c r="C61" s="19" t="s">
        <v>231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28"/>
    </row>
    <row r="62" spans="1:14">
      <c r="A62" s="19">
        <v>27</v>
      </c>
      <c r="B62" s="28" t="s">
        <v>42</v>
      </c>
      <c r="C62" s="19" t="s">
        <v>231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28"/>
    </row>
    <row r="63" spans="1:14">
      <c r="A63" s="28"/>
      <c r="B63" s="28"/>
      <c r="C63" s="271">
        <f t="shared" ref="C63:M63" si="0">SUM(C36:C62)</f>
        <v>9533</v>
      </c>
      <c r="D63" s="176">
        <f t="shared" si="0"/>
        <v>544</v>
      </c>
      <c r="E63" s="176">
        <f t="shared" si="0"/>
        <v>1028</v>
      </c>
      <c r="F63" s="176">
        <f t="shared" si="0"/>
        <v>4884</v>
      </c>
      <c r="G63" s="176">
        <f t="shared" si="0"/>
        <v>6548</v>
      </c>
      <c r="H63" s="176">
        <f t="shared" si="0"/>
        <v>7364</v>
      </c>
      <c r="I63" s="176">
        <f t="shared" si="0"/>
        <v>190</v>
      </c>
      <c r="J63" s="176">
        <f t="shared" si="0"/>
        <v>255</v>
      </c>
      <c r="K63" s="176">
        <f t="shared" si="0"/>
        <v>170</v>
      </c>
      <c r="L63" s="176">
        <f t="shared" si="0"/>
        <v>16538.23</v>
      </c>
      <c r="M63" s="176">
        <f t="shared" si="0"/>
        <v>47054.229999999996</v>
      </c>
      <c r="N63" s="28"/>
    </row>
  </sheetData>
  <mergeCells count="1">
    <mergeCell ref="A1:P1"/>
  </mergeCells>
  <pageMargins left="0.7" right="0.7" top="0.75" bottom="0.75" header="0.3" footer="0.3"/>
  <pageSetup paperSize="9" scale="5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855C-66D1-4F00-9A85-B8DFB87E37F3}">
  <sheetPr>
    <pageSetUpPr fitToPage="1"/>
  </sheetPr>
  <dimension ref="A1:P75"/>
  <sheetViews>
    <sheetView topLeftCell="A41" zoomScaleNormal="100" workbookViewId="0">
      <selection activeCell="A41" sqref="A41:N71"/>
    </sheetView>
  </sheetViews>
  <sheetFormatPr defaultRowHeight="15"/>
  <cols>
    <col min="2" max="2" width="26" bestFit="1" customWidth="1"/>
    <col min="3" max="3" width="11.5703125" bestFit="1" customWidth="1"/>
    <col min="4" max="4" width="18.42578125" bestFit="1" customWidth="1"/>
    <col min="5" max="5" width="15.85546875" bestFit="1" customWidth="1"/>
    <col min="6" max="6" width="15.5703125" bestFit="1" customWidth="1"/>
    <col min="7" max="7" width="12.5703125" bestFit="1" customWidth="1"/>
    <col min="8" max="8" width="14" bestFit="1" customWidth="1"/>
    <col min="9" max="9" width="12.5703125" bestFit="1" customWidth="1"/>
    <col min="10" max="10" width="14.7109375" bestFit="1" customWidth="1"/>
    <col min="11" max="11" width="15.5703125" bestFit="1" customWidth="1"/>
    <col min="12" max="12" width="14.7109375" bestFit="1" customWidth="1"/>
    <col min="13" max="13" width="14.42578125" bestFit="1" customWidth="1"/>
    <col min="14" max="14" width="20.140625" customWidth="1"/>
    <col min="15" max="15" width="18.7109375" bestFit="1" customWidth="1"/>
    <col min="16" max="16" width="15.140625" bestFit="1" customWidth="1"/>
  </cols>
  <sheetData>
    <row r="1" spans="1:16" ht="21">
      <c r="A1" s="288" t="s">
        <v>212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16" ht="15.75">
      <c r="A2" s="190" t="s">
        <v>1</v>
      </c>
      <c r="B2" s="190" t="s">
        <v>3</v>
      </c>
      <c r="C2" s="190" t="s">
        <v>205</v>
      </c>
      <c r="D2" s="190" t="s">
        <v>207</v>
      </c>
      <c r="E2" s="190" t="s">
        <v>208</v>
      </c>
      <c r="F2" s="190" t="s">
        <v>70</v>
      </c>
      <c r="G2" s="190" t="s">
        <v>53</v>
      </c>
      <c r="H2" s="190" t="s">
        <v>52</v>
      </c>
      <c r="I2" s="190" t="s">
        <v>54</v>
      </c>
      <c r="J2" s="190" t="s">
        <v>51</v>
      </c>
      <c r="K2" s="190" t="s">
        <v>50</v>
      </c>
      <c r="L2" s="190" t="s">
        <v>140</v>
      </c>
      <c r="M2" s="190" t="s">
        <v>209</v>
      </c>
      <c r="N2" s="190" t="s">
        <v>210</v>
      </c>
      <c r="O2" s="190" t="s">
        <v>110</v>
      </c>
      <c r="P2" s="190" t="s">
        <v>211</v>
      </c>
    </row>
    <row r="3" spans="1:16" ht="15.75">
      <c r="A3" s="19">
        <v>1</v>
      </c>
      <c r="B3" s="21" t="s">
        <v>14</v>
      </c>
      <c r="C3" s="17">
        <v>135304.18</v>
      </c>
      <c r="D3" s="20">
        <v>149247.57999999999</v>
      </c>
      <c r="E3" s="20">
        <v>177685</v>
      </c>
      <c r="F3" s="31">
        <v>15317</v>
      </c>
      <c r="G3" s="20">
        <v>21970</v>
      </c>
      <c r="H3" s="99">
        <v>-1147.96</v>
      </c>
      <c r="I3" s="20">
        <f>-293.9</f>
        <v>-293.89999999999998</v>
      </c>
      <c r="J3" s="20">
        <v>62680.4</v>
      </c>
      <c r="K3" s="20">
        <v>-27651.45</v>
      </c>
      <c r="L3" s="31">
        <v>14973</v>
      </c>
      <c r="M3" s="20">
        <v>59297</v>
      </c>
      <c r="N3" s="20">
        <v>3665.35</v>
      </c>
      <c r="O3" s="20">
        <f>N3+M3+L3+J3+G3+F3+E3+D3+C3</f>
        <v>640139.51</v>
      </c>
      <c r="P3" s="20"/>
    </row>
    <row r="4" spans="1:16" ht="15.75">
      <c r="A4" s="19">
        <v>2</v>
      </c>
      <c r="B4" s="21" t="s">
        <v>15</v>
      </c>
      <c r="C4" s="17">
        <v>32423.5</v>
      </c>
      <c r="D4" s="20">
        <v>42616</v>
      </c>
      <c r="E4" s="20">
        <v>15455</v>
      </c>
      <c r="F4" s="31">
        <v>6631</v>
      </c>
      <c r="G4" s="20">
        <v>14050</v>
      </c>
      <c r="H4" s="99">
        <v>-23.8</v>
      </c>
      <c r="I4" s="19">
        <v>0</v>
      </c>
      <c r="J4" s="20">
        <v>51451</v>
      </c>
      <c r="K4" s="19">
        <v>-772</v>
      </c>
      <c r="L4" s="31">
        <v>7562</v>
      </c>
      <c r="M4" s="19">
        <v>13889</v>
      </c>
      <c r="N4" s="20">
        <v>1672</v>
      </c>
      <c r="O4" s="20">
        <f>N4+M4+L4+J4+I4+G4+F4+E4+D4+C4</f>
        <v>185749.5</v>
      </c>
      <c r="P4" s="20"/>
    </row>
    <row r="5" spans="1:16" ht="15.75">
      <c r="A5" s="19">
        <v>3</v>
      </c>
      <c r="B5" s="21" t="s">
        <v>16</v>
      </c>
      <c r="C5" s="17">
        <v>159318.6</v>
      </c>
      <c r="D5" s="20">
        <v>123225.8</v>
      </c>
      <c r="E5" s="20">
        <v>77829</v>
      </c>
      <c r="F5" s="31">
        <v>1147</v>
      </c>
      <c r="G5" s="20">
        <v>9435</v>
      </c>
      <c r="H5" s="20">
        <v>2460.5</v>
      </c>
      <c r="I5" s="19">
        <v>0</v>
      </c>
      <c r="J5" s="20">
        <v>23273</v>
      </c>
      <c r="K5" s="19">
        <v>1850</v>
      </c>
      <c r="L5" s="31">
        <v>2701</v>
      </c>
      <c r="M5" s="19">
        <v>5642.5</v>
      </c>
      <c r="N5" s="20">
        <v>-1295</v>
      </c>
      <c r="O5" s="20">
        <f>M5+L5+K5+J5+I5+H5+G5+F5+E5+D5+C5</f>
        <v>406882.4</v>
      </c>
      <c r="P5" s="20"/>
    </row>
    <row r="6" spans="1:16" ht="15.75">
      <c r="A6" s="19">
        <v>4</v>
      </c>
      <c r="B6" s="21" t="s">
        <v>17</v>
      </c>
      <c r="C6" s="17">
        <v>5372</v>
      </c>
      <c r="D6" s="20">
        <v>6191.1</v>
      </c>
      <c r="E6" s="20">
        <v>19125</v>
      </c>
      <c r="F6" s="31">
        <v>0</v>
      </c>
      <c r="G6" s="20">
        <v>119</v>
      </c>
      <c r="H6" s="20">
        <v>0</v>
      </c>
      <c r="I6" s="19">
        <v>34</v>
      </c>
      <c r="J6" s="20">
        <v>0</v>
      </c>
      <c r="K6" s="19">
        <v>85</v>
      </c>
      <c r="L6" s="31">
        <v>1836</v>
      </c>
      <c r="M6" s="19">
        <v>1564</v>
      </c>
      <c r="N6" s="20">
        <v>1912.5</v>
      </c>
      <c r="O6" s="20">
        <f>N6+M6+L6+K6+I6+H6+G6+F6+E6+D6+C6</f>
        <v>36238.6</v>
      </c>
      <c r="P6" s="20"/>
    </row>
    <row r="7" spans="1:16" ht="15.75">
      <c r="A7" s="19">
        <v>5</v>
      </c>
      <c r="B7" s="21" t="s">
        <v>18</v>
      </c>
      <c r="C7" s="17">
        <v>43557.5</v>
      </c>
      <c r="D7" s="20">
        <v>73041.5</v>
      </c>
      <c r="E7" s="20">
        <f>38855+12200</f>
        <v>51055</v>
      </c>
      <c r="F7" s="31">
        <v>200</v>
      </c>
      <c r="G7" s="20">
        <v>3280</v>
      </c>
      <c r="H7" s="270">
        <v>640</v>
      </c>
      <c r="I7" s="19">
        <v>655</v>
      </c>
      <c r="J7" s="20">
        <v>9360</v>
      </c>
      <c r="K7" s="19">
        <v>-2065</v>
      </c>
      <c r="L7" s="31">
        <v>605</v>
      </c>
      <c r="M7" s="19">
        <v>5655</v>
      </c>
      <c r="N7" s="20">
        <v>-11760</v>
      </c>
      <c r="O7" s="20">
        <f>M7+L7+J7+I7+G7+F7+E7+D7+C7+H7</f>
        <v>188049</v>
      </c>
      <c r="P7" s="20"/>
    </row>
    <row r="8" spans="1:16" ht="15.75">
      <c r="A8" s="19">
        <v>6</v>
      </c>
      <c r="B8" s="21" t="s">
        <v>19</v>
      </c>
      <c r="C8" s="17">
        <v>3820.78</v>
      </c>
      <c r="D8" s="20">
        <v>6419.14</v>
      </c>
      <c r="E8" s="20">
        <v>6911</v>
      </c>
      <c r="F8" s="31">
        <v>48</v>
      </c>
      <c r="G8" s="20">
        <v>710.4</v>
      </c>
      <c r="H8" s="20">
        <v>795.6</v>
      </c>
      <c r="I8" s="19">
        <v>43.8</v>
      </c>
      <c r="J8" s="20">
        <v>876</v>
      </c>
      <c r="K8" s="19">
        <v>985</v>
      </c>
      <c r="L8" s="31">
        <v>297</v>
      </c>
      <c r="M8" s="19">
        <v>750</v>
      </c>
      <c r="N8" s="20">
        <v>-201</v>
      </c>
      <c r="O8" s="20">
        <f>M8+L8+K8+J8+I8+H8+G8+F8+E8+D8+C8</f>
        <v>21656.719999999998</v>
      </c>
      <c r="P8" s="20"/>
    </row>
    <row r="9" spans="1:16" ht="15.75">
      <c r="A9" s="19">
        <v>7</v>
      </c>
      <c r="B9" s="24" t="s">
        <v>20</v>
      </c>
      <c r="C9" s="17">
        <v>7798</v>
      </c>
      <c r="D9" s="20">
        <v>6355.9</v>
      </c>
      <c r="E9" s="19">
        <v>23270</v>
      </c>
      <c r="F9" s="31">
        <v>90</v>
      </c>
      <c r="G9" s="20">
        <v>780</v>
      </c>
      <c r="H9" s="99">
        <v>-10</v>
      </c>
      <c r="I9" s="19">
        <v>395</v>
      </c>
      <c r="J9" s="20">
        <v>355</v>
      </c>
      <c r="K9" s="19">
        <v>20</v>
      </c>
      <c r="L9" s="31">
        <v>650</v>
      </c>
      <c r="M9" s="19">
        <v>4940</v>
      </c>
      <c r="N9" s="20">
        <v>1900</v>
      </c>
      <c r="O9" s="20">
        <f>N9+M9+L9+K9+J9+I9+G9+F9+E9+D9+C9</f>
        <v>46553.9</v>
      </c>
      <c r="P9" s="20"/>
    </row>
    <row r="10" spans="1:16" ht="15.75">
      <c r="A10" s="19">
        <v>8</v>
      </c>
      <c r="B10" s="24" t="s">
        <v>22</v>
      </c>
      <c r="C10" s="17">
        <v>17148</v>
      </c>
      <c r="D10" s="20">
        <v>7933.7</v>
      </c>
      <c r="E10" s="19">
        <f>34250+1485</f>
        <v>35735</v>
      </c>
      <c r="F10" s="31">
        <v>7430</v>
      </c>
      <c r="G10" s="20">
        <v>2835</v>
      </c>
      <c r="H10" s="20">
        <v>245.25</v>
      </c>
      <c r="I10" s="19">
        <v>1745</v>
      </c>
      <c r="J10" s="20">
        <v>11155</v>
      </c>
      <c r="K10" s="19">
        <v>-100</v>
      </c>
      <c r="L10" s="31">
        <v>650</v>
      </c>
      <c r="M10" s="19">
        <v>15985</v>
      </c>
      <c r="N10" s="20">
        <v>-745</v>
      </c>
      <c r="O10" s="20">
        <f>M10+L10+J10+I10+H10+G10+F10+E10+D10+C10</f>
        <v>100861.95</v>
      </c>
      <c r="P10" s="20"/>
    </row>
    <row r="11" spans="1:16" ht="15.75">
      <c r="A11" s="19">
        <v>9</v>
      </c>
      <c r="B11" s="24" t="s">
        <v>23</v>
      </c>
      <c r="C11" s="17">
        <v>32.799999999999997</v>
      </c>
      <c r="D11" s="20">
        <v>1827.2</v>
      </c>
      <c r="E11" s="19">
        <v>1333</v>
      </c>
      <c r="F11" s="31"/>
      <c r="G11" s="20">
        <v>349.6</v>
      </c>
      <c r="H11" s="20">
        <v>79.2</v>
      </c>
      <c r="I11" s="19">
        <v>20.8</v>
      </c>
      <c r="J11" s="20">
        <v>998</v>
      </c>
      <c r="K11" s="19">
        <v>274</v>
      </c>
      <c r="L11" s="31">
        <v>0</v>
      </c>
      <c r="M11" s="19">
        <v>1783.2</v>
      </c>
      <c r="N11" s="20">
        <v>82.4</v>
      </c>
      <c r="O11" s="20">
        <f>N11+M11+L11+K11+J11+I11+H11+G11+F11+E11+D11+C11</f>
        <v>6780.2000000000007</v>
      </c>
      <c r="P11" s="20"/>
    </row>
    <row r="12" spans="1:16" ht="15.75">
      <c r="A12" s="19">
        <v>10</v>
      </c>
      <c r="B12" s="24" t="s">
        <v>25</v>
      </c>
      <c r="C12" s="17">
        <v>6455.4</v>
      </c>
      <c r="D12" s="20">
        <v>7026.4</v>
      </c>
      <c r="E12" s="19">
        <v>1200</v>
      </c>
      <c r="F12" s="31"/>
      <c r="G12" s="20">
        <v>2319</v>
      </c>
      <c r="H12" s="270">
        <v>15.5</v>
      </c>
      <c r="I12" s="19">
        <v>431</v>
      </c>
      <c r="J12" s="20">
        <v>8336</v>
      </c>
      <c r="K12" s="19">
        <v>4467.75</v>
      </c>
      <c r="L12" s="31">
        <v>0</v>
      </c>
      <c r="M12" s="19">
        <v>80</v>
      </c>
      <c r="N12" s="20">
        <v>55</v>
      </c>
      <c r="O12" s="20">
        <f>N12+M12+L12+K12+J12+I12+G12+F12+E12+D12+C12+H12</f>
        <v>30386.050000000003</v>
      </c>
      <c r="P12" s="20"/>
    </row>
    <row r="13" spans="1:16" ht="15.75">
      <c r="A13" s="19">
        <v>11</v>
      </c>
      <c r="B13" s="24" t="s">
        <v>26</v>
      </c>
      <c r="C13" s="17">
        <v>8738</v>
      </c>
      <c r="D13" s="20">
        <v>7700</v>
      </c>
      <c r="E13" s="19">
        <v>19238</v>
      </c>
      <c r="F13" s="31">
        <v>300</v>
      </c>
      <c r="G13" s="20">
        <v>3342</v>
      </c>
      <c r="H13" s="20">
        <v>31.09</v>
      </c>
      <c r="I13" s="19">
        <v>7</v>
      </c>
      <c r="J13" s="20">
        <v>8168</v>
      </c>
      <c r="K13" s="19">
        <v>6997.56</v>
      </c>
      <c r="L13" s="31">
        <v>960</v>
      </c>
      <c r="M13" s="19">
        <v>7129</v>
      </c>
      <c r="N13" s="20">
        <v>430</v>
      </c>
      <c r="O13" s="20">
        <f>N13+M13+L13+K13+J13+I13+H13+G13+F13+E13+D13+C13</f>
        <v>63040.65</v>
      </c>
      <c r="P13" s="20"/>
    </row>
    <row r="14" spans="1:16" ht="15.75">
      <c r="A14" s="19">
        <v>12</v>
      </c>
      <c r="B14" s="21" t="s">
        <v>27</v>
      </c>
      <c r="C14" s="17">
        <v>67</v>
      </c>
      <c r="D14" s="20">
        <v>1263</v>
      </c>
      <c r="E14" s="19">
        <v>0</v>
      </c>
      <c r="F14" s="31">
        <v>1072</v>
      </c>
      <c r="G14" s="20">
        <v>0</v>
      </c>
      <c r="H14" s="20">
        <v>15</v>
      </c>
      <c r="I14" s="19">
        <v>0</v>
      </c>
      <c r="J14" s="20">
        <v>0</v>
      </c>
      <c r="K14" s="19">
        <v>0</v>
      </c>
      <c r="L14" s="31">
        <v>0</v>
      </c>
      <c r="M14" s="19">
        <v>0</v>
      </c>
      <c r="N14" s="20">
        <v>0</v>
      </c>
      <c r="O14" s="20">
        <f>N14+M14+L14+K14+J14+I14+H14+G14+F14+E14+D14+C14</f>
        <v>2417</v>
      </c>
      <c r="P14" s="20"/>
    </row>
    <row r="15" spans="1:16" ht="15.75">
      <c r="A15" s="19">
        <v>13</v>
      </c>
      <c r="B15" s="25" t="s">
        <v>28</v>
      </c>
      <c r="C15" s="17">
        <v>34806</v>
      </c>
      <c r="D15" s="20">
        <v>81788</v>
      </c>
      <c r="E15" s="19">
        <v>62254</v>
      </c>
      <c r="F15" s="31">
        <v>2969</v>
      </c>
      <c r="G15" s="20">
        <v>6975</v>
      </c>
      <c r="H15" s="99">
        <v>-1439</v>
      </c>
      <c r="I15" s="19">
        <v>-205</v>
      </c>
      <c r="J15" s="20">
        <v>20628</v>
      </c>
      <c r="K15" s="19">
        <v>10149</v>
      </c>
      <c r="L15" s="31">
        <v>3570</v>
      </c>
      <c r="M15" s="19">
        <v>12189</v>
      </c>
      <c r="N15" s="20">
        <v>7743.5</v>
      </c>
      <c r="O15" s="20">
        <f>N15+M15+L15+K15+J15+G15+F15+E15+D15+C15</f>
        <v>243071.5</v>
      </c>
      <c r="P15" s="20"/>
    </row>
    <row r="16" spans="1:16" ht="15.75">
      <c r="A16" s="19">
        <v>14</v>
      </c>
      <c r="B16" s="25" t="s">
        <v>29</v>
      </c>
      <c r="C16" s="17">
        <v>4320</v>
      </c>
      <c r="D16" s="20">
        <v>7993</v>
      </c>
      <c r="E16" s="19">
        <v>90</v>
      </c>
      <c r="F16" s="31"/>
      <c r="G16" s="20">
        <v>0</v>
      </c>
      <c r="H16" s="20">
        <v>198</v>
      </c>
      <c r="I16" s="19">
        <v>414</v>
      </c>
      <c r="J16" s="20">
        <v>0</v>
      </c>
      <c r="K16" s="19">
        <v>18</v>
      </c>
      <c r="L16" s="31">
        <v>0</v>
      </c>
      <c r="M16" s="19">
        <v>0</v>
      </c>
      <c r="N16" s="20"/>
      <c r="O16" s="20">
        <f>N16+M16+L16+K16+J16+I16+H16+G16+F16+E16+D16+C16</f>
        <v>13033</v>
      </c>
      <c r="P16" s="20"/>
    </row>
    <row r="17" spans="1:16" ht="15.75">
      <c r="A17" s="19">
        <v>15</v>
      </c>
      <c r="B17" s="25" t="s">
        <v>30</v>
      </c>
      <c r="C17" s="17">
        <v>44033.1</v>
      </c>
      <c r="D17" s="20">
        <v>46850.75</v>
      </c>
      <c r="E17" s="19">
        <f>99706+281</f>
        <v>99987</v>
      </c>
      <c r="F17" s="31">
        <v>8408</v>
      </c>
      <c r="G17" s="20">
        <v>14165</v>
      </c>
      <c r="H17" s="20">
        <v>3908.89</v>
      </c>
      <c r="I17" s="19">
        <v>366</v>
      </c>
      <c r="J17" s="20">
        <v>40848</v>
      </c>
      <c r="K17" s="19">
        <v>18963.25</v>
      </c>
      <c r="L17" s="31">
        <v>3500</v>
      </c>
      <c r="M17" s="19">
        <v>32318</v>
      </c>
      <c r="N17" s="20">
        <v>1535.3</v>
      </c>
      <c r="O17" s="20">
        <f>N17+M17+L17+K17+J17+I17+H17+G17+F17+E17+D17+C17</f>
        <v>314883.28999999998</v>
      </c>
      <c r="P17" s="20"/>
    </row>
    <row r="18" spans="1:16" ht="15.75">
      <c r="A18" s="19">
        <v>16</v>
      </c>
      <c r="B18" s="25" t="s">
        <v>31</v>
      </c>
      <c r="C18" s="17">
        <v>25384.799999999999</v>
      </c>
      <c r="D18" s="20">
        <v>39399.79</v>
      </c>
      <c r="E18" s="19">
        <v>57617</v>
      </c>
      <c r="F18" s="31">
        <v>8178</v>
      </c>
      <c r="G18" s="20">
        <v>7225</v>
      </c>
      <c r="H18" s="99">
        <v>-153.30000000000001</v>
      </c>
      <c r="I18" s="19">
        <v>4.34</v>
      </c>
      <c r="J18" s="20">
        <v>18898</v>
      </c>
      <c r="K18" s="19">
        <v>1713.8</v>
      </c>
      <c r="L18" s="31">
        <v>2243</v>
      </c>
      <c r="M18" s="19">
        <v>12145</v>
      </c>
      <c r="N18" s="20">
        <v>2848</v>
      </c>
      <c r="O18" s="20">
        <f>N18+M18+L18+K18+J18+I18+G18+F18+E18+D18+C18</f>
        <v>175656.72999999998</v>
      </c>
      <c r="P18" s="20"/>
    </row>
    <row r="19" spans="1:16" ht="15.75">
      <c r="A19" s="19">
        <v>17</v>
      </c>
      <c r="B19" s="25" t="s">
        <v>32</v>
      </c>
      <c r="C19" s="17">
        <v>3140</v>
      </c>
      <c r="D19" s="20">
        <v>13165.66</v>
      </c>
      <c r="E19" s="19">
        <v>0</v>
      </c>
      <c r="F19" s="31"/>
      <c r="G19" s="20">
        <v>0</v>
      </c>
      <c r="H19" s="20">
        <v>0</v>
      </c>
      <c r="I19" s="19">
        <v>100</v>
      </c>
      <c r="J19" s="20">
        <v>0</v>
      </c>
      <c r="K19" s="19">
        <v>4554.4799999999996</v>
      </c>
      <c r="L19" s="31">
        <v>0</v>
      </c>
      <c r="M19" s="19"/>
      <c r="N19" s="20">
        <v>1450</v>
      </c>
      <c r="O19" s="20">
        <f>N19+M19+L19+K19+J19+I19+H19+G19+F19+E19+D19+C19</f>
        <v>22410.14</v>
      </c>
      <c r="P19" s="20"/>
    </row>
    <row r="20" spans="1:16" ht="15.75">
      <c r="A20" s="19">
        <v>18</v>
      </c>
      <c r="B20" s="25" t="s">
        <v>33</v>
      </c>
      <c r="C20" s="17">
        <v>11546</v>
      </c>
      <c r="D20" s="20">
        <v>32240.85</v>
      </c>
      <c r="E20" s="19">
        <v>7338</v>
      </c>
      <c r="F20" s="31">
        <v>3826</v>
      </c>
      <c r="G20" s="20">
        <v>5120</v>
      </c>
      <c r="H20" s="20">
        <v>386.51</v>
      </c>
      <c r="I20" s="19">
        <v>376</v>
      </c>
      <c r="J20" s="20">
        <v>12358</v>
      </c>
      <c r="K20" s="19">
        <v>0</v>
      </c>
      <c r="L20" s="31">
        <v>0</v>
      </c>
      <c r="M20" s="19">
        <v>19287</v>
      </c>
      <c r="N20" s="20">
        <v>-4481.2</v>
      </c>
      <c r="O20" s="20">
        <f>M20+L20+K20+J20+I20+H20+G20+F20+E20+D20+C20</f>
        <v>92478.359999999986</v>
      </c>
      <c r="P20" s="20"/>
    </row>
    <row r="21" spans="1:16" ht="15.75">
      <c r="A21" s="19">
        <v>19</v>
      </c>
      <c r="B21" s="25" t="s">
        <v>34</v>
      </c>
      <c r="C21" s="17"/>
      <c r="D21" s="20">
        <v>2544.75</v>
      </c>
      <c r="E21" s="19">
        <v>0</v>
      </c>
      <c r="F21" s="31"/>
      <c r="G21" s="20">
        <v>0</v>
      </c>
      <c r="H21" s="20">
        <v>0</v>
      </c>
      <c r="I21" s="19">
        <v>0</v>
      </c>
      <c r="J21" s="20">
        <v>470</v>
      </c>
      <c r="K21" s="19">
        <v>0</v>
      </c>
      <c r="L21" s="31">
        <v>0</v>
      </c>
      <c r="M21" s="19">
        <v>0</v>
      </c>
      <c r="N21" s="20">
        <v>1817.35</v>
      </c>
      <c r="O21" s="20">
        <f>N21+M21+L21+K21+J21+I21+H21+G21+F21+E21+D21+C21</f>
        <v>4832.1000000000004</v>
      </c>
      <c r="P21" s="20"/>
    </row>
    <row r="22" spans="1:16" ht="15.75">
      <c r="A22" s="19">
        <v>20</v>
      </c>
      <c r="B22" s="25" t="s">
        <v>35</v>
      </c>
      <c r="C22" s="17">
        <v>4810</v>
      </c>
      <c r="D22" s="20">
        <v>9569</v>
      </c>
      <c r="E22" s="19">
        <v>0</v>
      </c>
      <c r="F22" s="31"/>
      <c r="G22" s="20">
        <v>0</v>
      </c>
      <c r="H22" s="20">
        <v>0</v>
      </c>
      <c r="I22" s="19">
        <v>0</v>
      </c>
      <c r="J22" s="20">
        <v>0</v>
      </c>
      <c r="K22" s="19">
        <v>1184.2</v>
      </c>
      <c r="L22" s="31">
        <v>0</v>
      </c>
      <c r="M22" s="19">
        <v>0</v>
      </c>
      <c r="N22" s="20">
        <v>221</v>
      </c>
      <c r="O22" s="20">
        <f>N22+M22+L22+K22+J22+I22+H22+G22+F22+E22+D22+C22</f>
        <v>15784.2</v>
      </c>
      <c r="P22" s="20"/>
    </row>
    <row r="23" spans="1:16" ht="15.75">
      <c r="A23" s="19">
        <v>21</v>
      </c>
      <c r="B23" s="25" t="s">
        <v>36</v>
      </c>
      <c r="C23" s="17">
        <v>210</v>
      </c>
      <c r="D23" s="20">
        <v>0</v>
      </c>
      <c r="E23" s="19">
        <v>0</v>
      </c>
      <c r="F23" s="31"/>
      <c r="G23" s="20">
        <v>30</v>
      </c>
      <c r="H23" s="20">
        <v>0</v>
      </c>
      <c r="I23" s="19">
        <v>0</v>
      </c>
      <c r="J23" s="20">
        <v>0</v>
      </c>
      <c r="K23" s="19">
        <v>0</v>
      </c>
      <c r="L23" s="31">
        <v>0</v>
      </c>
      <c r="M23" s="19">
        <v>0</v>
      </c>
      <c r="N23" s="20">
        <v>1680</v>
      </c>
      <c r="O23" s="20">
        <f>N23+M23+L23+K23+J23+H23+I23+G23+F23+E23+D23+C23</f>
        <v>1920</v>
      </c>
      <c r="P23" s="20"/>
    </row>
    <row r="24" spans="1:16" ht="15.75">
      <c r="A24" s="19">
        <v>22</v>
      </c>
      <c r="B24" s="25" t="s">
        <v>37</v>
      </c>
      <c r="C24" s="17">
        <v>1318</v>
      </c>
      <c r="D24" s="20">
        <v>2923</v>
      </c>
      <c r="E24" s="19">
        <v>3932</v>
      </c>
      <c r="F24" s="31">
        <v>175</v>
      </c>
      <c r="G24" s="20">
        <v>443</v>
      </c>
      <c r="H24" s="20">
        <v>0</v>
      </c>
      <c r="I24" s="19">
        <v>0</v>
      </c>
      <c r="J24" s="20">
        <v>2622</v>
      </c>
      <c r="K24" s="19">
        <v>0</v>
      </c>
      <c r="L24" s="31">
        <v>0</v>
      </c>
      <c r="M24" s="19">
        <v>746</v>
      </c>
      <c r="N24" s="20">
        <v>2260</v>
      </c>
      <c r="O24" s="20">
        <f>N24+M24+L24+K24+J24+I24+H24+G24+F24+E24+D24+C24</f>
        <v>14419</v>
      </c>
      <c r="P24" s="20"/>
    </row>
    <row r="25" spans="1:16" ht="15.75">
      <c r="A25" s="19">
        <v>23</v>
      </c>
      <c r="B25" s="21" t="s">
        <v>38</v>
      </c>
      <c r="C25" s="17">
        <v>102</v>
      </c>
      <c r="D25" s="20">
        <v>2829</v>
      </c>
      <c r="E25" s="19">
        <v>80</v>
      </c>
      <c r="F25" s="31"/>
      <c r="G25" s="20">
        <v>0</v>
      </c>
      <c r="H25" s="20">
        <v>93.8</v>
      </c>
      <c r="I25" s="19">
        <v>0</v>
      </c>
      <c r="J25" s="20">
        <v>0</v>
      </c>
      <c r="K25" s="19">
        <v>0</v>
      </c>
      <c r="L25" s="31">
        <v>0</v>
      </c>
      <c r="M25" s="19">
        <v>0</v>
      </c>
      <c r="N25" s="26"/>
      <c r="O25" s="20">
        <f>M25+L25+K25+J25+H25+G25+F25+E25+D25+C25</f>
        <v>3104.8</v>
      </c>
      <c r="P25" s="20"/>
    </row>
    <row r="26" spans="1:16" ht="15.75">
      <c r="A26" s="19">
        <v>24</v>
      </c>
      <c r="B26" s="21" t="s">
        <v>39</v>
      </c>
      <c r="C26" s="17">
        <v>347.2</v>
      </c>
      <c r="D26" s="20">
        <v>681.8</v>
      </c>
      <c r="E26" s="19">
        <v>825</v>
      </c>
      <c r="F26" s="31">
        <v>243.6</v>
      </c>
      <c r="G26" s="20">
        <v>196</v>
      </c>
      <c r="H26" s="178">
        <v>-37.799999999999997</v>
      </c>
      <c r="I26" s="19">
        <v>338.8</v>
      </c>
      <c r="J26" s="20">
        <v>297</v>
      </c>
      <c r="K26" s="19">
        <v>193.2</v>
      </c>
      <c r="L26" s="31">
        <v>0</v>
      </c>
      <c r="M26" s="19">
        <v>350</v>
      </c>
      <c r="N26" s="27"/>
      <c r="O26" s="269">
        <f>M26+L26+K26+J26+I26+G26+F26+E26+D26+C26</f>
        <v>3472.5999999999995</v>
      </c>
      <c r="P26" s="20"/>
    </row>
    <row r="27" spans="1:16" ht="15.75">
      <c r="A27" s="19">
        <v>25</v>
      </c>
      <c r="B27" s="21" t="s">
        <v>40</v>
      </c>
      <c r="C27" s="17">
        <v>1321.6</v>
      </c>
      <c r="D27" s="20">
        <v>2225.1999999999998</v>
      </c>
      <c r="E27" s="19">
        <v>10</v>
      </c>
      <c r="F27" s="31"/>
      <c r="G27" s="20">
        <v>60</v>
      </c>
      <c r="H27" s="27">
        <v>114</v>
      </c>
      <c r="I27" s="19">
        <v>0</v>
      </c>
      <c r="J27" s="20">
        <v>0</v>
      </c>
      <c r="K27" s="19">
        <v>722.8</v>
      </c>
      <c r="L27" s="31">
        <v>0</v>
      </c>
      <c r="M27" s="19">
        <v>0</v>
      </c>
      <c r="N27" s="280">
        <v>226</v>
      </c>
      <c r="O27" s="269">
        <f>N27+K27+G27+F27+E27+D27+C27+H27</f>
        <v>4679.6000000000004</v>
      </c>
      <c r="P27" s="20"/>
    </row>
    <row r="28" spans="1:16" ht="15.75">
      <c r="A28" s="19">
        <v>26</v>
      </c>
      <c r="B28" s="21" t="s">
        <v>41</v>
      </c>
      <c r="C28" s="17">
        <v>0</v>
      </c>
      <c r="D28" s="20">
        <v>0</v>
      </c>
      <c r="E28" s="19">
        <v>0</v>
      </c>
      <c r="F28" s="31"/>
      <c r="G28" s="20">
        <v>0</v>
      </c>
      <c r="H28" s="27">
        <v>0</v>
      </c>
      <c r="I28" s="19">
        <v>0</v>
      </c>
      <c r="J28" s="20">
        <v>0</v>
      </c>
      <c r="K28" s="19">
        <v>0</v>
      </c>
      <c r="L28" s="31">
        <v>0</v>
      </c>
      <c r="M28" s="19">
        <v>0</v>
      </c>
      <c r="N28" s="27"/>
      <c r="O28" s="269">
        <f>H28+E28</f>
        <v>0</v>
      </c>
      <c r="P28" s="20"/>
    </row>
    <row r="29" spans="1:16" ht="15.75">
      <c r="A29" s="19">
        <v>27</v>
      </c>
      <c r="B29" s="21" t="s">
        <v>42</v>
      </c>
      <c r="C29" s="20">
        <v>3221.4</v>
      </c>
      <c r="D29" s="20">
        <v>4336.2</v>
      </c>
      <c r="E29" s="19">
        <v>64</v>
      </c>
      <c r="F29" s="31">
        <v>278</v>
      </c>
      <c r="G29" s="20">
        <v>667.2</v>
      </c>
      <c r="H29" s="27">
        <v>782.4</v>
      </c>
      <c r="I29" s="19">
        <v>372</v>
      </c>
      <c r="J29" s="20">
        <v>1973</v>
      </c>
      <c r="K29" s="19">
        <v>1393</v>
      </c>
      <c r="L29" s="31">
        <v>0</v>
      </c>
      <c r="M29" s="19">
        <v>286</v>
      </c>
      <c r="N29" s="27"/>
      <c r="O29" s="30">
        <f>M29+K29+J29+I29+H29+G29+D29+C29+F29+E29</f>
        <v>13373.199999999999</v>
      </c>
      <c r="P29" s="20"/>
    </row>
    <row r="30" spans="1:16">
      <c r="A30" s="20"/>
      <c r="B30" s="20"/>
      <c r="C30" s="20">
        <f>SUM(C3:C29)</f>
        <v>554595.86</v>
      </c>
      <c r="D30" s="20">
        <f>SUM(D3:D29)</f>
        <v>679394.32000000007</v>
      </c>
      <c r="E30" s="19">
        <f>SUM(E3:E29)</f>
        <v>661033</v>
      </c>
      <c r="F30" s="176">
        <f>SUM(F3:F29)</f>
        <v>56312.6</v>
      </c>
      <c r="G30" s="20">
        <f>SUM(G3:G29)</f>
        <v>94071.2</v>
      </c>
      <c r="H30" s="188">
        <f>H5+H8+H10+H11+H13+H14+H16+H17+H20+H25+H28+H29+H27+H7+H12</f>
        <v>9765.74</v>
      </c>
      <c r="I30" s="19">
        <f>I4+I5+I6+I7+I8+I9+I10+I11+I12+I13+I14+I16+I17+I18+I19+I20+I21+I22+I23+I24+I25+I26+I27+I28+I29</f>
        <v>5302.7400000000007</v>
      </c>
      <c r="J30" s="20">
        <f>SUM(J3:J29)</f>
        <v>274746.40000000002</v>
      </c>
      <c r="K30" s="19">
        <f>K5+K6+K8+K9+K11+K12+K13+K14+K15+K16+K17+K18+K19+K22+K21+K20+K23+K24+K25+K26+K27+K29</f>
        <v>53571.039999999994</v>
      </c>
      <c r="L30" s="31">
        <f>SUM(L3:L29)</f>
        <v>39547</v>
      </c>
      <c r="M30" s="19">
        <f>SUM(M3:M29)</f>
        <v>194035.7</v>
      </c>
      <c r="N30" s="27">
        <f>N3+N4+N6+N9+N11+N12+N13+N15+N17+N18+N19+N21+N22+N23+N24+N27</f>
        <v>29498.399999999998</v>
      </c>
      <c r="O30" s="188">
        <f>SUM(O3:O29)</f>
        <v>2651874.0000000005</v>
      </c>
      <c r="P30" s="30"/>
    </row>
    <row r="31" spans="1:16">
      <c r="A31" s="28"/>
      <c r="B31" s="28"/>
      <c r="C31" s="28"/>
      <c r="D31" s="28"/>
      <c r="E31" s="19"/>
      <c r="F31" s="19"/>
      <c r="G31" s="28"/>
      <c r="H31" s="103">
        <f>H3+H4+H9+H15+H18+H26</f>
        <v>-2811.8600000000006</v>
      </c>
      <c r="I31" s="103">
        <f>I3+I15</f>
        <v>-498.9</v>
      </c>
      <c r="J31" s="28"/>
      <c r="K31" s="103">
        <f>K3+K4+K7+K10</f>
        <v>-30588.45</v>
      </c>
      <c r="L31" s="28"/>
      <c r="M31" s="28"/>
      <c r="N31" s="103">
        <f>N5+N7+N8+N10+N20</f>
        <v>-18482.2</v>
      </c>
      <c r="O31" s="40">
        <f>C30+D30+E30+F30+G30+H30+I30+J30+K30+L30+M30+N30</f>
        <v>2651874.0000000005</v>
      </c>
      <c r="P31" s="28"/>
    </row>
    <row r="32" spans="1:16">
      <c r="O32">
        <f>H31+I31+K31+N31</f>
        <v>-52381.41</v>
      </c>
    </row>
    <row r="33" spans="1:16">
      <c r="O33" s="43">
        <f>SUM(O31:O32)</f>
        <v>2599492.5900000003</v>
      </c>
    </row>
    <row r="34" spans="1:16">
      <c r="P34" s="43">
        <f>O30+O34</f>
        <v>2651874.0000000005</v>
      </c>
    </row>
    <row r="35" spans="1:16">
      <c r="P35" s="43">
        <f>'2026 Stock 29.01.26'!O30</f>
        <v>2666673.17</v>
      </c>
    </row>
    <row r="36" spans="1:16">
      <c r="P36" s="43">
        <f>P34-P35</f>
        <v>-14799.16999999946</v>
      </c>
    </row>
    <row r="37" spans="1:16">
      <c r="P37">
        <v>7364</v>
      </c>
    </row>
    <row r="38" spans="1:16">
      <c r="P38" s="43">
        <f>P36+P37</f>
        <v>-7435.1699999994598</v>
      </c>
    </row>
    <row r="42" spans="1:16">
      <c r="D42" t="s">
        <v>213</v>
      </c>
    </row>
    <row r="43" spans="1:16">
      <c r="A43" s="176" t="s">
        <v>1</v>
      </c>
      <c r="B43" s="191" t="s">
        <v>3</v>
      </c>
      <c r="C43" s="176" t="s">
        <v>224</v>
      </c>
      <c r="D43" s="176" t="s">
        <v>225</v>
      </c>
      <c r="E43" s="176" t="s">
        <v>226</v>
      </c>
      <c r="F43" s="176" t="s">
        <v>227</v>
      </c>
      <c r="G43" s="176" t="s">
        <v>228</v>
      </c>
      <c r="H43" s="176" t="s">
        <v>120</v>
      </c>
      <c r="I43" s="176" t="s">
        <v>229</v>
      </c>
      <c r="J43" s="176" t="s">
        <v>118</v>
      </c>
      <c r="K43" s="176" t="s">
        <v>117</v>
      </c>
      <c r="L43" s="176" t="s">
        <v>230</v>
      </c>
      <c r="M43" s="176" t="s">
        <v>110</v>
      </c>
      <c r="N43" s="191" t="s">
        <v>211</v>
      </c>
    </row>
    <row r="44" spans="1:16">
      <c r="A44" s="19">
        <v>1</v>
      </c>
      <c r="B44" s="28" t="s">
        <v>14</v>
      </c>
      <c r="C44" s="19">
        <v>3650</v>
      </c>
      <c r="D44" s="19">
        <v>0</v>
      </c>
      <c r="E44" s="19">
        <v>228</v>
      </c>
      <c r="F44" s="19">
        <v>2633</v>
      </c>
      <c r="G44" s="19">
        <v>2863</v>
      </c>
      <c r="H44" s="19">
        <v>0</v>
      </c>
      <c r="I44" s="19">
        <v>0</v>
      </c>
      <c r="J44" s="19">
        <v>0</v>
      </c>
      <c r="K44" s="19">
        <v>0</v>
      </c>
      <c r="L44" s="19">
        <v>4851.99</v>
      </c>
      <c r="M44" s="19">
        <f>L44+K44+J44+I44+H44+G44+F44+E44+D44+C44</f>
        <v>14225.99</v>
      </c>
      <c r="N44" s="28"/>
    </row>
    <row r="45" spans="1:16">
      <c r="A45" s="19">
        <v>2</v>
      </c>
      <c r="B45" s="28" t="s">
        <v>15</v>
      </c>
      <c r="C45" s="19">
        <v>1330</v>
      </c>
      <c r="D45" s="19">
        <v>0</v>
      </c>
      <c r="E45" s="19">
        <v>0</v>
      </c>
      <c r="F45" s="19">
        <v>0</v>
      </c>
      <c r="G45" s="19">
        <v>1235</v>
      </c>
      <c r="H45" s="19">
        <v>0</v>
      </c>
      <c r="I45" s="19">
        <v>0</v>
      </c>
      <c r="J45" s="19">
        <v>0</v>
      </c>
      <c r="K45" s="19">
        <v>0</v>
      </c>
      <c r="L45" s="19">
        <v>4657</v>
      </c>
      <c r="M45" s="19">
        <f t="shared" ref="M45:M70" si="0">L45+K45+J45+I45+H45+G45+F45+E45+D45+C45</f>
        <v>7222</v>
      </c>
      <c r="N45" s="28"/>
    </row>
    <row r="46" spans="1:16">
      <c r="A46" s="19">
        <v>3</v>
      </c>
      <c r="B46" s="28" t="s">
        <v>16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481</v>
      </c>
      <c r="M46" s="19">
        <f t="shared" si="0"/>
        <v>481</v>
      </c>
      <c r="N46" s="28"/>
    </row>
    <row r="47" spans="1:16">
      <c r="A47" s="19">
        <v>4</v>
      </c>
      <c r="B47" s="28" t="s">
        <v>17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255</v>
      </c>
      <c r="M47" s="19">
        <f t="shared" si="0"/>
        <v>255</v>
      </c>
      <c r="N47" s="28"/>
    </row>
    <row r="48" spans="1:16">
      <c r="A48" s="19">
        <v>5</v>
      </c>
      <c r="B48" s="28" t="s">
        <v>18</v>
      </c>
      <c r="C48" s="19">
        <v>0</v>
      </c>
      <c r="D48" s="19">
        <v>0</v>
      </c>
      <c r="E48" s="19">
        <v>0</v>
      </c>
      <c r="F48" s="19">
        <v>680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185</v>
      </c>
      <c r="M48" s="19">
        <f t="shared" si="0"/>
        <v>865</v>
      </c>
      <c r="N48" s="28"/>
    </row>
    <row r="49" spans="1:14">
      <c r="A49" s="19">
        <v>6</v>
      </c>
      <c r="B49" s="28" t="s">
        <v>19</v>
      </c>
      <c r="C49" s="19">
        <v>0</v>
      </c>
      <c r="D49" s="19">
        <v>0</v>
      </c>
      <c r="E49" s="19">
        <v>0</v>
      </c>
      <c r="F49" s="19">
        <v>1.2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76.8</v>
      </c>
      <c r="M49" s="19">
        <f t="shared" si="0"/>
        <v>78</v>
      </c>
      <c r="N49" s="28"/>
    </row>
    <row r="50" spans="1:14">
      <c r="A50" s="19">
        <v>7</v>
      </c>
      <c r="B50" s="28" t="s">
        <v>20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190</v>
      </c>
      <c r="M50" s="19">
        <f t="shared" si="0"/>
        <v>190</v>
      </c>
      <c r="N50" s="28"/>
    </row>
    <row r="51" spans="1:14">
      <c r="A51" s="19">
        <v>8</v>
      </c>
      <c r="B51" s="28" t="s">
        <v>22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175</v>
      </c>
      <c r="M51" s="19">
        <f t="shared" si="0"/>
        <v>175</v>
      </c>
      <c r="N51" s="28"/>
    </row>
    <row r="52" spans="1:14">
      <c r="A52" s="19">
        <v>9</v>
      </c>
      <c r="B52" s="28" t="s">
        <v>23</v>
      </c>
      <c r="C52" s="19">
        <v>0</v>
      </c>
      <c r="D52" s="19">
        <v>0</v>
      </c>
      <c r="E52" s="19">
        <v>0</v>
      </c>
      <c r="F52" s="19">
        <v>0.8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f t="shared" si="0"/>
        <v>0.8</v>
      </c>
      <c r="N52" s="28"/>
    </row>
    <row r="53" spans="1:14">
      <c r="A53" s="19">
        <v>10</v>
      </c>
      <c r="B53" s="28" t="s">
        <v>25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f t="shared" si="0"/>
        <v>0</v>
      </c>
      <c r="N53" s="28"/>
    </row>
    <row r="54" spans="1:14">
      <c r="A54" s="19">
        <v>11</v>
      </c>
      <c r="B54" s="28" t="s">
        <v>26</v>
      </c>
      <c r="C54" s="19">
        <v>360</v>
      </c>
      <c r="D54" s="19">
        <v>0</v>
      </c>
      <c r="E54" s="19">
        <v>0</v>
      </c>
      <c r="F54" s="19">
        <v>384</v>
      </c>
      <c r="G54" s="19">
        <v>354</v>
      </c>
      <c r="H54" s="19">
        <v>0</v>
      </c>
      <c r="I54" s="19">
        <v>0</v>
      </c>
      <c r="J54" s="19">
        <v>0</v>
      </c>
      <c r="K54" s="19">
        <v>0</v>
      </c>
      <c r="L54" s="19">
        <v>80</v>
      </c>
      <c r="M54" s="19">
        <f t="shared" si="0"/>
        <v>1178</v>
      </c>
      <c r="N54" s="28"/>
    </row>
    <row r="55" spans="1:14">
      <c r="A55" s="19">
        <v>12</v>
      </c>
      <c r="B55" s="28" t="s">
        <v>27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f t="shared" si="0"/>
        <v>0</v>
      </c>
      <c r="N55" s="28"/>
    </row>
    <row r="56" spans="1:14">
      <c r="A56" s="19">
        <v>13</v>
      </c>
      <c r="B56" s="28" t="s">
        <v>28</v>
      </c>
      <c r="C56" s="19">
        <v>3740</v>
      </c>
      <c r="D56" s="19">
        <v>544</v>
      </c>
      <c r="E56" s="19">
        <v>782</v>
      </c>
      <c r="F56" s="19">
        <v>425</v>
      </c>
      <c r="G56" s="19">
        <v>1802</v>
      </c>
      <c r="H56" s="19">
        <v>0</v>
      </c>
      <c r="I56" s="19">
        <v>190</v>
      </c>
      <c r="J56" s="19">
        <v>255</v>
      </c>
      <c r="K56" s="19">
        <v>170</v>
      </c>
      <c r="L56" s="19">
        <v>1588</v>
      </c>
      <c r="M56" s="19">
        <f t="shared" si="0"/>
        <v>9496</v>
      </c>
      <c r="N56" s="28"/>
    </row>
    <row r="57" spans="1:14">
      <c r="A57" s="19">
        <v>14</v>
      </c>
      <c r="B57" s="28" t="s">
        <v>29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f t="shared" si="0"/>
        <v>0</v>
      </c>
      <c r="N57" s="28"/>
    </row>
    <row r="58" spans="1:14">
      <c r="A58" s="19">
        <v>15</v>
      </c>
      <c r="B58" s="28" t="s">
        <v>30</v>
      </c>
      <c r="C58" s="19">
        <v>369</v>
      </c>
      <c r="D58" s="19">
        <v>0</v>
      </c>
      <c r="E58" s="19">
        <v>0</v>
      </c>
      <c r="F58" s="19">
        <v>230</v>
      </c>
      <c r="G58" s="19">
        <v>150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f t="shared" si="0"/>
        <v>749</v>
      </c>
      <c r="N58" s="28"/>
    </row>
    <row r="59" spans="1:14">
      <c r="A59" s="19">
        <v>16</v>
      </c>
      <c r="B59" s="28" t="s">
        <v>31</v>
      </c>
      <c r="C59" s="19">
        <v>0</v>
      </c>
      <c r="D59" s="19">
        <v>0</v>
      </c>
      <c r="E59" s="19">
        <v>0</v>
      </c>
      <c r="F59" s="19">
        <v>530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3998.44</v>
      </c>
      <c r="M59" s="19">
        <f t="shared" si="0"/>
        <v>4528.4400000000005</v>
      </c>
      <c r="N59" s="28"/>
    </row>
    <row r="60" spans="1:14">
      <c r="A60" s="19">
        <v>17</v>
      </c>
      <c r="B60" s="28" t="s">
        <v>32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f t="shared" si="0"/>
        <v>0</v>
      </c>
      <c r="N60" s="28"/>
    </row>
    <row r="61" spans="1:14">
      <c r="A61" s="19">
        <v>18</v>
      </c>
      <c r="B61" s="28" t="s">
        <v>33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f t="shared" si="0"/>
        <v>0</v>
      </c>
      <c r="N61" s="28"/>
    </row>
    <row r="62" spans="1:14">
      <c r="A62" s="19">
        <v>19</v>
      </c>
      <c r="B62" s="28" t="s">
        <v>34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f t="shared" si="0"/>
        <v>0</v>
      </c>
      <c r="N62" s="28"/>
    </row>
    <row r="63" spans="1:14">
      <c r="A63" s="19">
        <v>20</v>
      </c>
      <c r="B63" s="28" t="s">
        <v>35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f t="shared" si="0"/>
        <v>0</v>
      </c>
      <c r="N63" s="28"/>
    </row>
    <row r="64" spans="1:14">
      <c r="A64" s="19">
        <v>21</v>
      </c>
      <c r="B64" s="28" t="s">
        <v>36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f t="shared" si="0"/>
        <v>0</v>
      </c>
      <c r="N64" s="28"/>
    </row>
    <row r="65" spans="1:16">
      <c r="A65" s="19">
        <v>22</v>
      </c>
      <c r="B65" s="28" t="s">
        <v>37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f t="shared" si="0"/>
        <v>0</v>
      </c>
      <c r="N65" s="28"/>
    </row>
    <row r="66" spans="1:16">
      <c r="A66" s="19">
        <v>23</v>
      </c>
      <c r="B66" s="28" t="s">
        <v>38</v>
      </c>
      <c r="C66" s="19">
        <v>0</v>
      </c>
      <c r="D66" s="19">
        <v>0</v>
      </c>
      <c r="E66" s="19">
        <v>18</v>
      </c>
      <c r="F66" s="19">
        <v>0</v>
      </c>
      <c r="G66" s="19">
        <v>60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f>L66+K66+J66+I66+H66+G66+F66+E66+D66+C66</f>
        <v>78</v>
      </c>
      <c r="N66" s="28"/>
    </row>
    <row r="67" spans="1:16">
      <c r="A67" s="19">
        <v>24</v>
      </c>
      <c r="B67" s="28" t="s">
        <v>39</v>
      </c>
      <c r="C67" s="19">
        <v>84</v>
      </c>
      <c r="D67" s="19">
        <v>0</v>
      </c>
      <c r="E67" s="19">
        <v>0</v>
      </c>
      <c r="F67" s="19">
        <v>0</v>
      </c>
      <c r="G67" s="19">
        <v>84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f t="shared" si="0"/>
        <v>168</v>
      </c>
      <c r="N67" s="28"/>
    </row>
    <row r="68" spans="1:16">
      <c r="A68" s="19">
        <v>25</v>
      </c>
      <c r="B68" s="28" t="s">
        <v>40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f t="shared" si="0"/>
        <v>0</v>
      </c>
      <c r="N68" s="28"/>
    </row>
    <row r="69" spans="1:16">
      <c r="A69" s="19">
        <v>26</v>
      </c>
      <c r="B69" s="28" t="s">
        <v>41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f t="shared" si="0"/>
        <v>0</v>
      </c>
      <c r="N69" s="28"/>
    </row>
    <row r="70" spans="1:16">
      <c r="A70" s="19">
        <v>27</v>
      </c>
      <c r="B70" s="28" t="s">
        <v>42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f t="shared" si="0"/>
        <v>0</v>
      </c>
      <c r="N70" s="28"/>
    </row>
    <row r="71" spans="1:16">
      <c r="A71" s="28"/>
      <c r="B71" s="28"/>
      <c r="C71" s="271">
        <f t="shared" ref="C71:L71" si="1">SUM(C44:C70)</f>
        <v>9533</v>
      </c>
      <c r="D71" s="176">
        <f t="shared" si="1"/>
        <v>544</v>
      </c>
      <c r="E71" s="176">
        <f t="shared" si="1"/>
        <v>1028</v>
      </c>
      <c r="F71" s="176">
        <v>27577</v>
      </c>
      <c r="G71" s="176">
        <f t="shared" si="1"/>
        <v>6548</v>
      </c>
      <c r="H71" s="176">
        <f t="shared" si="1"/>
        <v>0</v>
      </c>
      <c r="I71" s="176">
        <f t="shared" si="1"/>
        <v>190</v>
      </c>
      <c r="J71" s="176">
        <f t="shared" si="1"/>
        <v>255</v>
      </c>
      <c r="K71" s="176">
        <f t="shared" si="1"/>
        <v>170</v>
      </c>
      <c r="L71" s="176">
        <f t="shared" si="1"/>
        <v>16538.23</v>
      </c>
      <c r="M71" s="176">
        <f>SUM(M44:M70)</f>
        <v>39690.229999999996</v>
      </c>
      <c r="N71" s="28"/>
      <c r="P71" s="43">
        <f>M71+O30</f>
        <v>2691564.2300000004</v>
      </c>
    </row>
    <row r="72" spans="1:16">
      <c r="F72" s="242">
        <v>27577</v>
      </c>
      <c r="P72">
        <v>21865</v>
      </c>
    </row>
    <row r="73" spans="1:16">
      <c r="D73" t="s">
        <v>143</v>
      </c>
      <c r="E73" s="43">
        <f>O30+M71</f>
        <v>2691564.2300000004</v>
      </c>
      <c r="P73" s="43">
        <f>P71+P72</f>
        <v>2713429.2300000004</v>
      </c>
    </row>
    <row r="74" spans="1:16">
      <c r="D74" t="s">
        <v>245</v>
      </c>
      <c r="E74" s="45">
        <v>21865</v>
      </c>
    </row>
    <row r="75" spans="1:16">
      <c r="E75" s="43">
        <f>E73+E74</f>
        <v>2713429.2300000004</v>
      </c>
    </row>
  </sheetData>
  <mergeCells count="1">
    <mergeCell ref="A1:P1"/>
  </mergeCells>
  <pageMargins left="0.7" right="0.7" top="0.75" bottom="0.75" header="0.3" footer="0.3"/>
  <pageSetup paperSize="9" scale="6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479-9475-4220-A0F5-D3F924BBDB38}">
  <sheetPr>
    <pageSetUpPr fitToPage="1"/>
  </sheetPr>
  <dimension ref="A1:T65"/>
  <sheetViews>
    <sheetView tabSelected="1" workbookViewId="0">
      <selection activeCell="R11" sqref="R11"/>
    </sheetView>
  </sheetViews>
  <sheetFormatPr defaultRowHeight="15"/>
  <cols>
    <col min="2" max="2" width="26" bestFit="1" customWidth="1"/>
    <col min="3" max="3" width="11.28515625" bestFit="1" customWidth="1"/>
    <col min="4" max="4" width="18.42578125" bestFit="1" customWidth="1"/>
    <col min="5" max="5" width="10.85546875" bestFit="1" customWidth="1"/>
    <col min="6" max="6" width="11" bestFit="1" customWidth="1"/>
    <col min="7" max="7" width="8.5703125" bestFit="1" customWidth="1"/>
    <col min="8" max="8" width="9.5703125" bestFit="1" customWidth="1"/>
    <col min="13" max="13" width="9" bestFit="1" customWidth="1"/>
    <col min="14" max="14" width="10.5703125" bestFit="1" customWidth="1"/>
    <col min="15" max="15" width="14.85546875" customWidth="1"/>
    <col min="16" max="16" width="11.85546875" customWidth="1"/>
    <col min="20" max="20" width="26.42578125" customWidth="1"/>
  </cols>
  <sheetData>
    <row r="1" spans="1:20" ht="21">
      <c r="A1" s="288" t="s">
        <v>212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</row>
    <row r="2" spans="1:20" ht="15.75">
      <c r="A2" s="190" t="s">
        <v>1</v>
      </c>
      <c r="B2" s="190" t="s">
        <v>3</v>
      </c>
      <c r="C2" s="190" t="s">
        <v>205</v>
      </c>
      <c r="D2" s="190" t="s">
        <v>207</v>
      </c>
      <c r="E2" s="190" t="s">
        <v>208</v>
      </c>
      <c r="F2" s="190" t="s">
        <v>70</v>
      </c>
      <c r="G2" s="190" t="s">
        <v>53</v>
      </c>
      <c r="H2" s="190" t="s">
        <v>52</v>
      </c>
      <c r="I2" s="190" t="s">
        <v>54</v>
      </c>
      <c r="J2" s="190" t="s">
        <v>51</v>
      </c>
      <c r="K2" s="190" t="s">
        <v>50</v>
      </c>
      <c r="L2" s="190" t="s">
        <v>140</v>
      </c>
      <c r="M2" s="190" t="s">
        <v>209</v>
      </c>
      <c r="N2" s="190" t="s">
        <v>210</v>
      </c>
      <c r="O2" s="190" t="s">
        <v>92</v>
      </c>
      <c r="P2" s="190" t="s">
        <v>211</v>
      </c>
    </row>
    <row r="3" spans="1:20" ht="15.75">
      <c r="A3" s="19">
        <v>1</v>
      </c>
      <c r="B3" s="313" t="s">
        <v>14</v>
      </c>
      <c r="C3" s="17">
        <v>147077.18</v>
      </c>
      <c r="D3" s="20">
        <v>143882.57999999999</v>
      </c>
      <c r="E3" s="20">
        <v>176785</v>
      </c>
      <c r="F3" s="31">
        <v>15076</v>
      </c>
      <c r="G3" s="20">
        <v>22105</v>
      </c>
      <c r="H3" s="99">
        <v>-1147.96</v>
      </c>
      <c r="I3" s="20">
        <f>-293.9</f>
        <v>-293.89999999999998</v>
      </c>
      <c r="J3" s="20">
        <v>59366.400000000001</v>
      </c>
      <c r="K3" s="20">
        <v>-27651.45</v>
      </c>
      <c r="L3" s="31">
        <v>14973</v>
      </c>
      <c r="M3" s="20">
        <v>52292</v>
      </c>
      <c r="N3" s="20">
        <v>3665.35</v>
      </c>
      <c r="O3" s="20">
        <f>N3+M3+L3+J3+G3+F3+E3+D3+C3</f>
        <v>635222.51</v>
      </c>
      <c r="P3" s="20"/>
    </row>
    <row r="4" spans="1:20" ht="15.75">
      <c r="A4" s="19">
        <v>2</v>
      </c>
      <c r="B4" s="313" t="s">
        <v>15</v>
      </c>
      <c r="C4" s="17">
        <v>34931.5</v>
      </c>
      <c r="D4" s="20">
        <v>43815</v>
      </c>
      <c r="E4" s="20">
        <v>15330</v>
      </c>
      <c r="F4" s="19">
        <f>5214+4940</f>
        <v>10154</v>
      </c>
      <c r="G4" s="20">
        <v>13088</v>
      </c>
      <c r="H4" s="99">
        <v>-23.8</v>
      </c>
      <c r="I4" s="19">
        <v>0</v>
      </c>
      <c r="J4" s="20">
        <v>47898</v>
      </c>
      <c r="K4" s="19">
        <v>-772</v>
      </c>
      <c r="L4" s="31">
        <v>7562</v>
      </c>
      <c r="M4" s="19">
        <v>9728</v>
      </c>
      <c r="N4" s="20">
        <v>1672</v>
      </c>
      <c r="O4" s="20">
        <f>N4+M4+L4+J4+I4+G4+F4+E4+D4+C4</f>
        <v>184178.5</v>
      </c>
      <c r="P4" s="20"/>
    </row>
    <row r="5" spans="1:20" ht="15.75">
      <c r="A5" s="19">
        <v>3</v>
      </c>
      <c r="B5" s="313" t="s">
        <v>16</v>
      </c>
      <c r="C5" s="17">
        <v>163388.6</v>
      </c>
      <c r="D5" s="20">
        <v>119940.8</v>
      </c>
      <c r="E5" s="20">
        <v>81529</v>
      </c>
      <c r="F5" s="37">
        <v>1332</v>
      </c>
      <c r="G5" s="20">
        <v>9435</v>
      </c>
      <c r="H5" s="20">
        <v>2460.5</v>
      </c>
      <c r="I5" s="19">
        <v>0</v>
      </c>
      <c r="J5" s="20">
        <v>15355</v>
      </c>
      <c r="K5" s="19">
        <v>1850</v>
      </c>
      <c r="L5" s="31">
        <v>2701</v>
      </c>
      <c r="M5" s="19">
        <v>5642.5</v>
      </c>
      <c r="N5" s="20">
        <v>-1295</v>
      </c>
      <c r="O5" s="20">
        <f>M5+L5+K5+J5+I5+H5+G5+F5+E5+D5+C5</f>
        <v>403634.4</v>
      </c>
      <c r="P5" s="20"/>
      <c r="T5" t="s">
        <v>251</v>
      </c>
    </row>
    <row r="6" spans="1:20" ht="15.75">
      <c r="A6" s="19">
        <v>4</v>
      </c>
      <c r="B6" s="313" t="s">
        <v>17</v>
      </c>
      <c r="C6" s="17">
        <v>5372</v>
      </c>
      <c r="D6" s="20">
        <v>5800.1</v>
      </c>
      <c r="E6" s="20">
        <v>19516</v>
      </c>
      <c r="F6" s="19">
        <v>0</v>
      </c>
      <c r="G6" s="20">
        <v>119</v>
      </c>
      <c r="H6" s="20">
        <v>0</v>
      </c>
      <c r="I6" s="19">
        <v>34</v>
      </c>
      <c r="J6" s="20">
        <v>0</v>
      </c>
      <c r="K6" s="19">
        <v>85</v>
      </c>
      <c r="L6" s="31">
        <v>1836</v>
      </c>
      <c r="M6" s="19">
        <v>1564</v>
      </c>
      <c r="N6" s="20">
        <v>1912.5</v>
      </c>
      <c r="O6" s="20">
        <f>N6+M6+L6+K6+I6+H6+G6+F6+E6+D6+C6</f>
        <v>36238.6</v>
      </c>
      <c r="P6" s="20"/>
      <c r="T6" t="s">
        <v>252</v>
      </c>
    </row>
    <row r="7" spans="1:20" ht="15.75">
      <c r="A7" s="19">
        <v>5</v>
      </c>
      <c r="B7" s="313" t="s">
        <v>18</v>
      </c>
      <c r="C7" s="17">
        <v>43392.5</v>
      </c>
      <c r="D7" s="20">
        <v>71441.5</v>
      </c>
      <c r="E7" s="20">
        <f>39855+12200</f>
        <v>52055</v>
      </c>
      <c r="F7" s="19">
        <v>800</v>
      </c>
      <c r="G7" s="20">
        <v>3280</v>
      </c>
      <c r="H7" s="270">
        <v>640</v>
      </c>
      <c r="I7" s="19">
        <v>655</v>
      </c>
      <c r="J7" s="20">
        <v>7635</v>
      </c>
      <c r="K7" s="19">
        <v>-2065</v>
      </c>
      <c r="L7" s="31">
        <v>605</v>
      </c>
      <c r="M7" s="19">
        <v>5655</v>
      </c>
      <c r="N7" s="20">
        <v>-11760</v>
      </c>
      <c r="O7" s="20">
        <f>M7+L7+J7+I7+G7+F7+E7+D7+C7+H7</f>
        <v>186159</v>
      </c>
      <c r="P7" s="20"/>
      <c r="T7" t="s">
        <v>253</v>
      </c>
    </row>
    <row r="8" spans="1:20" ht="15.75">
      <c r="A8" s="19">
        <v>6</v>
      </c>
      <c r="B8" s="313" t="s">
        <v>19</v>
      </c>
      <c r="C8" s="17">
        <v>3388.88</v>
      </c>
      <c r="D8" s="20">
        <v>6137.14</v>
      </c>
      <c r="E8" s="20">
        <v>7163</v>
      </c>
      <c r="F8" s="19">
        <v>78</v>
      </c>
      <c r="G8" s="20">
        <v>710.4</v>
      </c>
      <c r="H8" s="20">
        <v>795.6</v>
      </c>
      <c r="I8" s="19">
        <v>43.8</v>
      </c>
      <c r="J8" s="20">
        <v>858</v>
      </c>
      <c r="K8" s="19">
        <v>985</v>
      </c>
      <c r="L8" s="31">
        <v>297</v>
      </c>
      <c r="M8" s="19">
        <v>748.2</v>
      </c>
      <c r="N8" s="20">
        <v>-201</v>
      </c>
      <c r="O8" s="20">
        <f>M8+L8+K8+J8+I8+H8+G8+F8+E8+D8+C8</f>
        <v>21205.02</v>
      </c>
      <c r="P8" s="20"/>
    </row>
    <row r="9" spans="1:20" ht="15.75">
      <c r="A9" s="19">
        <v>7</v>
      </c>
      <c r="B9" s="314" t="s">
        <v>20</v>
      </c>
      <c r="C9" s="17">
        <v>8583</v>
      </c>
      <c r="D9" s="20">
        <v>5180.8999999999996</v>
      </c>
      <c r="E9" s="19">
        <v>24480</v>
      </c>
      <c r="F9" s="19">
        <v>90</v>
      </c>
      <c r="G9" s="20">
        <v>745</v>
      </c>
      <c r="H9" s="99">
        <v>-10</v>
      </c>
      <c r="I9" s="19">
        <v>395</v>
      </c>
      <c r="J9" s="20">
        <v>300</v>
      </c>
      <c r="K9" s="19">
        <v>20</v>
      </c>
      <c r="L9" s="31">
        <v>650</v>
      </c>
      <c r="M9" s="19">
        <v>4210</v>
      </c>
      <c r="N9" s="20">
        <v>1900</v>
      </c>
      <c r="O9" s="20">
        <f>N9+M9+L9+K9+J9+I9+G9+F9+E9+D9+C9</f>
        <v>46553.9</v>
      </c>
      <c r="P9" s="20"/>
    </row>
    <row r="10" spans="1:20" ht="15.75">
      <c r="A10" s="19">
        <v>8</v>
      </c>
      <c r="B10" s="314" t="s">
        <v>22</v>
      </c>
      <c r="C10" s="17">
        <v>15088</v>
      </c>
      <c r="D10" s="20">
        <v>6503.7</v>
      </c>
      <c r="E10" s="19">
        <f>1485+36150</f>
        <v>37635</v>
      </c>
      <c r="F10" s="19">
        <v>6880</v>
      </c>
      <c r="G10" s="20">
        <v>2815</v>
      </c>
      <c r="H10" s="20">
        <v>245.25</v>
      </c>
      <c r="I10" s="19">
        <v>1745</v>
      </c>
      <c r="J10" s="20">
        <v>10145</v>
      </c>
      <c r="K10" s="19">
        <v>-100</v>
      </c>
      <c r="L10" s="31">
        <v>650</v>
      </c>
      <c r="M10" s="19">
        <v>15635</v>
      </c>
      <c r="N10" s="20">
        <v>-745</v>
      </c>
      <c r="O10" s="20">
        <f>M10+L10+J10+I10+H10+G10+F10+E10+D10+C10</f>
        <v>97341.95</v>
      </c>
      <c r="P10" s="20"/>
    </row>
    <row r="11" spans="1:20" ht="15.75">
      <c r="A11" s="19">
        <v>9</v>
      </c>
      <c r="B11" s="314" t="s">
        <v>23</v>
      </c>
      <c r="C11" s="17">
        <v>12.9</v>
      </c>
      <c r="D11" s="20">
        <v>1627.2</v>
      </c>
      <c r="E11" s="19">
        <v>1533</v>
      </c>
      <c r="F11" s="19">
        <v>0</v>
      </c>
      <c r="G11" s="20">
        <v>349.6</v>
      </c>
      <c r="H11" s="20">
        <v>79.2</v>
      </c>
      <c r="I11" s="19">
        <v>20.8</v>
      </c>
      <c r="J11" s="20">
        <v>982</v>
      </c>
      <c r="K11" s="19">
        <v>274</v>
      </c>
      <c r="L11" s="31">
        <v>0</v>
      </c>
      <c r="M11" s="19">
        <v>1783.2</v>
      </c>
      <c r="N11" s="20">
        <v>82.4</v>
      </c>
      <c r="O11" s="20">
        <f>N11+M11+L11+K11+J11+I11+H11+G11+F11+E11+D11+C11</f>
        <v>6744.3</v>
      </c>
      <c r="P11" s="20"/>
    </row>
    <row r="12" spans="1:20" ht="15.75">
      <c r="A12" s="19">
        <v>10</v>
      </c>
      <c r="B12" s="314" t="s">
        <v>25</v>
      </c>
      <c r="C12" s="17">
        <v>6455.4</v>
      </c>
      <c r="D12" s="20">
        <v>6090.4</v>
      </c>
      <c r="E12" s="19">
        <v>1200</v>
      </c>
      <c r="F12" s="19">
        <v>0</v>
      </c>
      <c r="G12" s="20">
        <v>4355</v>
      </c>
      <c r="H12" s="270">
        <v>15.5</v>
      </c>
      <c r="I12" s="19">
        <v>431</v>
      </c>
      <c r="J12" s="20">
        <v>8336</v>
      </c>
      <c r="K12" s="19">
        <v>4467.75</v>
      </c>
      <c r="L12" s="31">
        <v>0</v>
      </c>
      <c r="M12" s="19">
        <v>80</v>
      </c>
      <c r="N12" s="20">
        <v>55</v>
      </c>
      <c r="O12" s="20">
        <f>N12+M12+L12+K12+J12+I12+G12+F12+E12+D12+C12+H12</f>
        <v>31486.050000000003</v>
      </c>
      <c r="P12" s="20"/>
    </row>
    <row r="13" spans="1:20" ht="15.75">
      <c r="A13" s="19">
        <v>11</v>
      </c>
      <c r="B13" s="314" t="s">
        <v>26</v>
      </c>
      <c r="C13" s="17">
        <v>8408</v>
      </c>
      <c r="D13" s="20">
        <v>6770</v>
      </c>
      <c r="E13" s="19">
        <v>19718</v>
      </c>
      <c r="F13" s="19">
        <v>444</v>
      </c>
      <c r="G13" s="20">
        <v>3108</v>
      </c>
      <c r="H13" s="20">
        <v>31.09</v>
      </c>
      <c r="I13" s="19">
        <v>7</v>
      </c>
      <c r="J13" s="20">
        <v>7646</v>
      </c>
      <c r="K13" s="19">
        <v>6997.56</v>
      </c>
      <c r="L13" s="31">
        <v>960</v>
      </c>
      <c r="M13" s="19">
        <v>7129</v>
      </c>
      <c r="N13" s="20">
        <v>430</v>
      </c>
      <c r="O13" s="20">
        <f>N13+M13+L13+K13+J13+I13+H13+G13+F13+E13+D13+C13</f>
        <v>61648.65</v>
      </c>
      <c r="P13" s="20"/>
    </row>
    <row r="14" spans="1:20" ht="15.75">
      <c r="A14" s="19">
        <v>12</v>
      </c>
      <c r="B14" s="313" t="s">
        <v>27</v>
      </c>
      <c r="C14" s="17">
        <v>67</v>
      </c>
      <c r="D14" s="20">
        <v>1263</v>
      </c>
      <c r="E14" s="19">
        <v>0</v>
      </c>
      <c r="F14" s="19">
        <v>2322</v>
      </c>
      <c r="G14" s="20">
        <v>0</v>
      </c>
      <c r="H14" s="20">
        <v>15</v>
      </c>
      <c r="I14" s="19">
        <v>0</v>
      </c>
      <c r="J14" s="20">
        <v>0</v>
      </c>
      <c r="K14" s="19">
        <v>0</v>
      </c>
      <c r="L14" s="31">
        <v>0</v>
      </c>
      <c r="M14" s="19">
        <v>0</v>
      </c>
      <c r="N14" s="20">
        <v>0</v>
      </c>
      <c r="O14" s="20">
        <f>N14+M14+L14+K14+J14+I14+H14+G14+F14+E14+D14+C14</f>
        <v>3667</v>
      </c>
      <c r="P14" s="20"/>
    </row>
    <row r="15" spans="1:20" ht="15.75">
      <c r="A15" s="19">
        <v>13</v>
      </c>
      <c r="B15" s="315" t="s">
        <v>28</v>
      </c>
      <c r="C15" s="17">
        <v>32596</v>
      </c>
      <c r="D15" s="20">
        <v>78235</v>
      </c>
      <c r="E15" s="19">
        <v>0</v>
      </c>
      <c r="F15" s="19">
        <v>2187</v>
      </c>
      <c r="G15" s="20">
        <v>6975</v>
      </c>
      <c r="H15" s="99">
        <v>-1439</v>
      </c>
      <c r="I15" s="19">
        <v>-205</v>
      </c>
      <c r="J15" s="20">
        <v>20628</v>
      </c>
      <c r="K15" s="19">
        <v>10149</v>
      </c>
      <c r="L15" s="31">
        <v>3570</v>
      </c>
      <c r="M15" s="19">
        <v>12189</v>
      </c>
      <c r="N15" s="20">
        <v>7743.5</v>
      </c>
      <c r="O15" s="20">
        <f>N15+M15+L15+K15+J15+G15+F15+E15+D15+C15</f>
        <v>174272.5</v>
      </c>
      <c r="P15" s="20"/>
    </row>
    <row r="16" spans="1:20" ht="15.75">
      <c r="A16" s="19">
        <v>14</v>
      </c>
      <c r="B16" s="315" t="s">
        <v>29</v>
      </c>
      <c r="C16" s="17">
        <v>4320</v>
      </c>
      <c r="D16" s="20">
        <v>7993</v>
      </c>
      <c r="E16" s="19">
        <v>66266</v>
      </c>
      <c r="F16" s="19">
        <v>0</v>
      </c>
      <c r="G16" s="20">
        <v>0</v>
      </c>
      <c r="H16" s="20">
        <v>198</v>
      </c>
      <c r="I16" s="19">
        <v>414</v>
      </c>
      <c r="J16" s="20">
        <v>0</v>
      </c>
      <c r="K16" s="19">
        <v>18</v>
      </c>
      <c r="L16" s="31">
        <v>0</v>
      </c>
      <c r="M16" s="19">
        <v>0</v>
      </c>
      <c r="N16" s="20"/>
      <c r="O16" s="20">
        <f>N16+M16+L16+K16+J16+I16+H16+G16+F16+E16+D16+C16</f>
        <v>79209</v>
      </c>
      <c r="P16" s="20"/>
    </row>
    <row r="17" spans="1:16" ht="15.75">
      <c r="A17" s="19">
        <v>15</v>
      </c>
      <c r="B17" s="315" t="s">
        <v>30</v>
      </c>
      <c r="C17" s="17">
        <v>42633.1</v>
      </c>
      <c r="D17" s="20">
        <v>36005.75</v>
      </c>
      <c r="E17" s="19">
        <v>90</v>
      </c>
      <c r="F17" s="19">
        <v>10684</v>
      </c>
      <c r="G17" s="20">
        <v>13560</v>
      </c>
      <c r="H17" s="20">
        <v>3908.89</v>
      </c>
      <c r="I17" s="19">
        <v>366</v>
      </c>
      <c r="J17" s="20">
        <v>38268</v>
      </c>
      <c r="K17" s="19">
        <v>18963.25</v>
      </c>
      <c r="L17" s="31">
        <v>3500</v>
      </c>
      <c r="M17" s="19">
        <v>32318</v>
      </c>
      <c r="N17" s="20">
        <v>1535.3</v>
      </c>
      <c r="O17" s="20">
        <f>N17+M17+L17+K17+J17+I17+H17+G17+F17+E17+D17+C17</f>
        <v>201832.29</v>
      </c>
      <c r="P17" s="20"/>
    </row>
    <row r="18" spans="1:16" ht="15.75">
      <c r="A18" s="19">
        <v>16</v>
      </c>
      <c r="B18" s="315" t="s">
        <v>31</v>
      </c>
      <c r="C18" s="17">
        <v>24961.8</v>
      </c>
      <c r="D18" s="20">
        <v>36546.79</v>
      </c>
      <c r="E18" s="19">
        <f>105466+281</f>
        <v>105747</v>
      </c>
      <c r="F18" s="19">
        <v>8498</v>
      </c>
      <c r="G18" s="20">
        <v>7129</v>
      </c>
      <c r="H18" s="99">
        <v>-153.30000000000001</v>
      </c>
      <c r="I18" s="19">
        <v>4.34</v>
      </c>
      <c r="J18" s="20">
        <v>18018</v>
      </c>
      <c r="K18" s="19">
        <v>1713.8</v>
      </c>
      <c r="L18" s="31">
        <v>2243</v>
      </c>
      <c r="M18" s="19">
        <v>12145</v>
      </c>
      <c r="N18" s="20">
        <v>2848</v>
      </c>
      <c r="O18" s="20">
        <f>N18+M18+L18+K18+J18+I18+G18+F18+E18+D18+C18</f>
        <v>219854.73</v>
      </c>
      <c r="P18" s="20"/>
    </row>
    <row r="19" spans="1:16" ht="15.75">
      <c r="A19" s="19">
        <v>17</v>
      </c>
      <c r="B19" s="315" t="s">
        <v>32</v>
      </c>
      <c r="C19" s="17">
        <v>3140</v>
      </c>
      <c r="D19" s="20">
        <v>13165.66</v>
      </c>
      <c r="E19" s="19">
        <v>59446</v>
      </c>
      <c r="F19" s="19">
        <v>3756</v>
      </c>
      <c r="G19" s="20">
        <v>0</v>
      </c>
      <c r="H19" s="20">
        <v>0</v>
      </c>
      <c r="I19" s="19">
        <v>100</v>
      </c>
      <c r="J19" s="20">
        <v>0</v>
      </c>
      <c r="K19" s="19">
        <v>4554.4799999999996</v>
      </c>
      <c r="L19" s="31">
        <v>0</v>
      </c>
      <c r="M19" s="19">
        <v>0</v>
      </c>
      <c r="N19" s="20">
        <v>1450</v>
      </c>
      <c r="O19" s="20">
        <f>N19+M19+L19+K19+J19+I19+H19+G19+F19+E19+D19+C19</f>
        <v>85612.14</v>
      </c>
      <c r="P19" s="20"/>
    </row>
    <row r="20" spans="1:16" ht="15.75">
      <c r="A20" s="19">
        <v>18</v>
      </c>
      <c r="B20" s="315" t="s">
        <v>33</v>
      </c>
      <c r="C20" s="17">
        <v>10816</v>
      </c>
      <c r="D20" s="20">
        <v>32340.85</v>
      </c>
      <c r="E20" s="19">
        <v>7268</v>
      </c>
      <c r="F20" s="19">
        <v>0</v>
      </c>
      <c r="G20" s="20">
        <v>5110</v>
      </c>
      <c r="H20" s="20">
        <v>386.51</v>
      </c>
      <c r="I20" s="19">
        <v>376</v>
      </c>
      <c r="J20" s="20">
        <v>12358</v>
      </c>
      <c r="K20" s="19">
        <v>0</v>
      </c>
      <c r="L20" s="31">
        <v>0</v>
      </c>
      <c r="M20" s="19">
        <v>19287</v>
      </c>
      <c r="N20" s="20">
        <v>-4481.2</v>
      </c>
      <c r="O20" s="20">
        <f>M20+L20+K20+J20+I20+H20+G20+F20+E20+D20+C20</f>
        <v>87942.359999999986</v>
      </c>
      <c r="P20" s="20"/>
    </row>
    <row r="21" spans="1:16" ht="15.75">
      <c r="A21" s="19">
        <v>19</v>
      </c>
      <c r="B21" s="315" t="s">
        <v>34</v>
      </c>
      <c r="C21" s="17">
        <v>0</v>
      </c>
      <c r="D21" s="20">
        <v>2544.75</v>
      </c>
      <c r="E21" s="19">
        <v>0</v>
      </c>
      <c r="F21" s="19">
        <v>0</v>
      </c>
      <c r="G21" s="20">
        <v>0</v>
      </c>
      <c r="H21" s="20">
        <v>0</v>
      </c>
      <c r="I21" s="19">
        <v>0</v>
      </c>
      <c r="J21" s="20">
        <v>470</v>
      </c>
      <c r="K21" s="19">
        <v>0</v>
      </c>
      <c r="L21" s="31">
        <v>0</v>
      </c>
      <c r="M21" s="19">
        <v>0</v>
      </c>
      <c r="N21" s="20">
        <v>1817.35</v>
      </c>
      <c r="O21" s="20">
        <f>N21+M21+L21+K21+J21+I21+H21+G21+F21+E21+D21+C21</f>
        <v>4832.1000000000004</v>
      </c>
      <c r="P21" s="20"/>
    </row>
    <row r="22" spans="1:16" ht="15.75">
      <c r="A22" s="19">
        <v>20</v>
      </c>
      <c r="B22" s="315" t="s">
        <v>35</v>
      </c>
      <c r="C22" s="17">
        <v>4810</v>
      </c>
      <c r="D22" s="20">
        <v>9569</v>
      </c>
      <c r="E22" s="19">
        <v>0</v>
      </c>
      <c r="F22" s="19">
        <v>0</v>
      </c>
      <c r="G22" s="20">
        <v>0</v>
      </c>
      <c r="H22" s="20">
        <v>0</v>
      </c>
      <c r="I22" s="19">
        <v>0</v>
      </c>
      <c r="J22" s="20">
        <v>0</v>
      </c>
      <c r="K22" s="19">
        <v>1184.2</v>
      </c>
      <c r="L22" s="31">
        <v>0</v>
      </c>
      <c r="M22" s="19">
        <v>0</v>
      </c>
      <c r="N22" s="20">
        <v>221</v>
      </c>
      <c r="O22" s="20">
        <f>N22+M22+L22+K22+J22+I22+H22+G22+F22+E22+D22+C22</f>
        <v>15784.2</v>
      </c>
      <c r="P22" s="20"/>
    </row>
    <row r="23" spans="1:16" ht="15.75">
      <c r="A23" s="19">
        <v>21</v>
      </c>
      <c r="B23" s="315" t="s">
        <v>36</v>
      </c>
      <c r="C23" s="17">
        <v>210</v>
      </c>
      <c r="D23" s="20">
        <v>0</v>
      </c>
      <c r="E23" s="19">
        <v>0</v>
      </c>
      <c r="F23" s="19">
        <v>0</v>
      </c>
      <c r="G23" s="20">
        <v>30</v>
      </c>
      <c r="H23" s="20">
        <v>0</v>
      </c>
      <c r="I23" s="19">
        <v>0</v>
      </c>
      <c r="J23" s="20">
        <v>0</v>
      </c>
      <c r="K23" s="19">
        <v>0</v>
      </c>
      <c r="L23" s="31">
        <v>0</v>
      </c>
      <c r="M23" s="19">
        <v>0</v>
      </c>
      <c r="N23" s="20">
        <v>1680</v>
      </c>
      <c r="O23" s="20">
        <f>N23+M23+L23+K23+J23+H23+I23+G23+F23+E23+D23+C23</f>
        <v>1920</v>
      </c>
      <c r="P23" s="20"/>
    </row>
    <row r="24" spans="1:16" ht="15.75">
      <c r="A24" s="19">
        <v>22</v>
      </c>
      <c r="B24" s="315" t="s">
        <v>37</v>
      </c>
      <c r="C24" s="17">
        <v>1338</v>
      </c>
      <c r="D24" s="20">
        <v>2923</v>
      </c>
      <c r="E24" s="19">
        <v>4252</v>
      </c>
      <c r="F24" s="19">
        <v>175</v>
      </c>
      <c r="G24" s="20">
        <v>443</v>
      </c>
      <c r="H24" s="20">
        <v>0</v>
      </c>
      <c r="I24" s="19">
        <v>0</v>
      </c>
      <c r="J24" s="20">
        <v>2602</v>
      </c>
      <c r="K24" s="19">
        <v>0</v>
      </c>
      <c r="L24" s="31">
        <v>0</v>
      </c>
      <c r="M24" s="19">
        <v>746</v>
      </c>
      <c r="N24" s="20">
        <v>2260</v>
      </c>
      <c r="O24" s="20">
        <f>N24+M24+L24+K24+J24+I24+H24+G24+F24+E24+D24+C24</f>
        <v>14739</v>
      </c>
      <c r="P24" s="20"/>
    </row>
    <row r="25" spans="1:16" ht="15.75">
      <c r="A25" s="19">
        <v>23</v>
      </c>
      <c r="B25" s="313" t="s">
        <v>38</v>
      </c>
      <c r="C25" s="17">
        <v>102</v>
      </c>
      <c r="D25" s="20">
        <v>2829</v>
      </c>
      <c r="E25" s="19">
        <v>80</v>
      </c>
      <c r="F25" s="19">
        <v>0</v>
      </c>
      <c r="G25" s="20">
        <v>0</v>
      </c>
      <c r="H25" s="20">
        <v>93.8</v>
      </c>
      <c r="I25" s="19">
        <v>0</v>
      </c>
      <c r="J25" s="20">
        <v>0</v>
      </c>
      <c r="K25" s="19">
        <v>0</v>
      </c>
      <c r="L25" s="31">
        <v>0</v>
      </c>
      <c r="M25" s="19">
        <v>0</v>
      </c>
      <c r="N25" s="26"/>
      <c r="O25" s="20">
        <f>M25+L25+K25+J25+H25+G25+F25+E25+D25+C25</f>
        <v>3104.8</v>
      </c>
      <c r="P25" s="20"/>
    </row>
    <row r="26" spans="1:16" ht="15.75">
      <c r="A26" s="19">
        <v>24</v>
      </c>
      <c r="B26" s="313" t="s">
        <v>39</v>
      </c>
      <c r="C26" s="17">
        <v>347.2</v>
      </c>
      <c r="D26" s="20">
        <v>681.8</v>
      </c>
      <c r="E26" s="19">
        <v>671</v>
      </c>
      <c r="F26" s="19">
        <v>243.6</v>
      </c>
      <c r="G26" s="20">
        <v>196</v>
      </c>
      <c r="H26" s="99">
        <v>-37.799999999999997</v>
      </c>
      <c r="I26" s="19">
        <v>338.8</v>
      </c>
      <c r="J26" s="20">
        <v>297</v>
      </c>
      <c r="K26" s="19">
        <v>193.2</v>
      </c>
      <c r="L26" s="31">
        <v>0</v>
      </c>
      <c r="M26" s="19">
        <v>286</v>
      </c>
      <c r="N26" s="101"/>
      <c r="O26" s="30">
        <f>M26+L26+K26+J26+I26+G26+F26+E26+D26+C26</f>
        <v>3254.5999999999995</v>
      </c>
      <c r="P26" s="20"/>
    </row>
    <row r="27" spans="1:16" ht="15.75">
      <c r="A27" s="19">
        <v>25</v>
      </c>
      <c r="B27" s="313" t="s">
        <v>40</v>
      </c>
      <c r="C27" s="17">
        <v>1321.6</v>
      </c>
      <c r="D27" s="20">
        <v>2225.1999999999998</v>
      </c>
      <c r="E27" s="19">
        <v>10</v>
      </c>
      <c r="F27" s="19">
        <v>0</v>
      </c>
      <c r="G27" s="20">
        <v>60</v>
      </c>
      <c r="H27" s="101">
        <v>114</v>
      </c>
      <c r="I27" s="19">
        <v>0</v>
      </c>
      <c r="J27" s="20">
        <v>0</v>
      </c>
      <c r="K27" s="19">
        <v>722.8</v>
      </c>
      <c r="L27" s="31">
        <v>0</v>
      </c>
      <c r="M27" s="19">
        <v>0</v>
      </c>
      <c r="N27" s="316">
        <v>226</v>
      </c>
      <c r="O27" s="30">
        <f>N27+K27+G27+F27+E27+D27+C27+H27</f>
        <v>4679.6000000000004</v>
      </c>
      <c r="P27" s="20"/>
    </row>
    <row r="28" spans="1:16" ht="15.75">
      <c r="A28" s="19">
        <v>26</v>
      </c>
      <c r="B28" s="313" t="s">
        <v>41</v>
      </c>
      <c r="C28" s="17">
        <v>0</v>
      </c>
      <c r="D28" s="20">
        <v>0</v>
      </c>
      <c r="E28" s="19">
        <v>0</v>
      </c>
      <c r="F28" s="19">
        <v>0</v>
      </c>
      <c r="G28" s="20">
        <v>0</v>
      </c>
      <c r="H28" s="101">
        <v>0</v>
      </c>
      <c r="I28" s="19">
        <v>0</v>
      </c>
      <c r="J28" s="20">
        <v>0</v>
      </c>
      <c r="K28" s="19">
        <v>0</v>
      </c>
      <c r="L28" s="31">
        <v>0</v>
      </c>
      <c r="M28" s="19">
        <v>0</v>
      </c>
      <c r="N28" s="101"/>
      <c r="O28" s="30">
        <f>H28+E28</f>
        <v>0</v>
      </c>
      <c r="P28" s="20"/>
    </row>
    <row r="29" spans="1:16" ht="15.75">
      <c r="A29" s="19">
        <v>27</v>
      </c>
      <c r="B29" s="313" t="s">
        <v>42</v>
      </c>
      <c r="C29" s="20">
        <v>3278.4</v>
      </c>
      <c r="D29" s="20">
        <v>4336.2</v>
      </c>
      <c r="E29" s="19">
        <v>64</v>
      </c>
      <c r="F29" s="19">
        <v>538</v>
      </c>
      <c r="G29" s="20">
        <v>667.2</v>
      </c>
      <c r="H29" s="101">
        <v>782.4</v>
      </c>
      <c r="I29" s="19">
        <v>372</v>
      </c>
      <c r="J29" s="20">
        <v>1749.15</v>
      </c>
      <c r="K29" s="19">
        <v>1393</v>
      </c>
      <c r="L29" s="31">
        <v>0</v>
      </c>
      <c r="M29" s="19">
        <v>0</v>
      </c>
      <c r="N29" s="101"/>
      <c r="O29" s="30">
        <f>M29+K29+J29+I29+H29+G29+D29+C29+F29+E29</f>
        <v>13180.35</v>
      </c>
      <c r="P29" s="20"/>
    </row>
    <row r="30" spans="1:16">
      <c r="A30" s="311" t="s">
        <v>92</v>
      </c>
      <c r="B30" s="312"/>
      <c r="C30" s="20">
        <f>SUM(C3:C29)</f>
        <v>566039.06000000006</v>
      </c>
      <c r="D30" s="20">
        <f>SUM(D3:D29)</f>
        <v>647848.32000000007</v>
      </c>
      <c r="E30" s="19">
        <f>SUM(E3:E29)</f>
        <v>680838</v>
      </c>
      <c r="F30" s="19">
        <f>SUM(F3:F29)</f>
        <v>63257.599999999999</v>
      </c>
      <c r="G30" s="20">
        <f>SUM(G3:G29)</f>
        <v>94280.2</v>
      </c>
      <c r="H30" s="188">
        <f>H5+H8+H10+H11+H13+H14+H16+H17+H20+H25+H28+H29+H27+H7+H12</f>
        <v>9765.74</v>
      </c>
      <c r="I30" s="19">
        <f>I4+I5+I6+I7+I8+I9+I10+I11+I12+I13+I14+I16+I17+I18+I19+I20+I21+I22+I23+I24+I25+I26+I27+I28+I29</f>
        <v>5302.7400000000007</v>
      </c>
      <c r="J30" s="20">
        <f>SUM(J3:J29)</f>
        <v>252911.55</v>
      </c>
      <c r="K30" s="19">
        <f>K5+K6+K8+K9+K11+K12+K13+K14+K15+K16+K17+K18+K19+K22+K21+K20+K23+K24+K25+K26+K27+K29</f>
        <v>53571.039999999994</v>
      </c>
      <c r="L30" s="31">
        <f>SUM(L3:L29)</f>
        <v>39547</v>
      </c>
      <c r="M30" s="19">
        <f>SUM(M3:M29)</f>
        <v>181437.9</v>
      </c>
      <c r="N30" s="101">
        <f>N3+N4+N6+N9+N11+N12+N13+N15+N17+N18+N19+N21+N22+N23+N24+N27</f>
        <v>29498.399999999998</v>
      </c>
      <c r="O30" s="188">
        <f>SUM(O3:O29)</f>
        <v>2624297.5500000003</v>
      </c>
      <c r="P30" s="30"/>
    </row>
    <row r="31" spans="1:16">
      <c r="A31" s="19"/>
      <c r="B31" s="19"/>
      <c r="C31" s="19"/>
      <c r="D31" s="19"/>
      <c r="E31" s="19"/>
      <c r="F31" s="19"/>
      <c r="G31" s="19"/>
      <c r="H31" s="102">
        <f>H3+H4+H9+H15+H18+H26</f>
        <v>-2811.8600000000006</v>
      </c>
      <c r="I31" s="102">
        <f>I3+I15</f>
        <v>-498.9</v>
      </c>
      <c r="J31" s="19"/>
      <c r="K31" s="102">
        <f>K3+K4+K7+K10</f>
        <v>-30588.45</v>
      </c>
      <c r="L31" s="19"/>
      <c r="M31" s="19"/>
      <c r="N31" s="102">
        <f>N5+N7+N8+N10+N20</f>
        <v>-18482.2</v>
      </c>
      <c r="O31" s="317">
        <f>C30+D30+E30+F30+G30+H30+I30+J30+K30+L30+M30+N30</f>
        <v>2624297.5499999998</v>
      </c>
      <c r="P31" s="19"/>
    </row>
    <row r="32" spans="1:16">
      <c r="F32" s="45"/>
    </row>
    <row r="33" spans="1:14">
      <c r="F33" s="45"/>
    </row>
    <row r="34" spans="1:14">
      <c r="F34" s="45"/>
    </row>
    <row r="36" spans="1:14">
      <c r="D36" t="s">
        <v>213</v>
      </c>
    </row>
    <row r="37" spans="1:14">
      <c r="A37" s="176" t="s">
        <v>1</v>
      </c>
      <c r="B37" s="191" t="s">
        <v>3</v>
      </c>
      <c r="C37" s="176" t="s">
        <v>224</v>
      </c>
      <c r="D37" s="176" t="s">
        <v>225</v>
      </c>
      <c r="E37" s="176" t="s">
        <v>226</v>
      </c>
      <c r="F37" s="176" t="s">
        <v>227</v>
      </c>
      <c r="G37" s="176" t="s">
        <v>228</v>
      </c>
      <c r="H37" s="176" t="s">
        <v>120</v>
      </c>
      <c r="I37" s="176" t="s">
        <v>229</v>
      </c>
      <c r="J37" s="176" t="s">
        <v>118</v>
      </c>
      <c r="K37" s="176" t="s">
        <v>117</v>
      </c>
      <c r="L37" s="176" t="s">
        <v>230</v>
      </c>
      <c r="M37" s="176" t="s">
        <v>110</v>
      </c>
      <c r="N37" s="191" t="s">
        <v>211</v>
      </c>
    </row>
    <row r="38" spans="1:14">
      <c r="A38" s="19">
        <v>1</v>
      </c>
      <c r="B38" s="28" t="s">
        <v>14</v>
      </c>
      <c r="C38" s="19">
        <v>3650</v>
      </c>
      <c r="D38" s="19">
        <v>0</v>
      </c>
      <c r="E38" s="19">
        <v>228</v>
      </c>
      <c r="F38" s="19">
        <v>2633</v>
      </c>
      <c r="G38" s="19">
        <v>2863</v>
      </c>
      <c r="H38" s="19">
        <v>0</v>
      </c>
      <c r="I38" s="19">
        <v>0</v>
      </c>
      <c r="J38" s="19">
        <v>0</v>
      </c>
      <c r="K38" s="19">
        <v>0</v>
      </c>
      <c r="L38" s="19">
        <v>4851.99</v>
      </c>
      <c r="M38" s="19">
        <f>L38+K38+J38+I38+H38+G38+F38+E38+D38+C38</f>
        <v>14225.99</v>
      </c>
      <c r="N38" s="28"/>
    </row>
    <row r="39" spans="1:14">
      <c r="A39" s="19">
        <v>2</v>
      </c>
      <c r="B39" s="28" t="s">
        <v>15</v>
      </c>
      <c r="C39" s="19">
        <v>1330</v>
      </c>
      <c r="D39" s="19">
        <v>0</v>
      </c>
      <c r="E39" s="19">
        <v>0</v>
      </c>
      <c r="F39" s="19">
        <v>0</v>
      </c>
      <c r="G39" s="19">
        <v>1235</v>
      </c>
      <c r="H39" s="19">
        <v>0</v>
      </c>
      <c r="I39" s="19">
        <v>0</v>
      </c>
      <c r="J39" s="19">
        <v>0</v>
      </c>
      <c r="K39" s="19">
        <v>0</v>
      </c>
      <c r="L39" s="19">
        <v>4657</v>
      </c>
      <c r="M39" s="19">
        <f t="shared" ref="M39:M64" si="0">L39+K39+J39+I39+H39+G39+F39+E39+D39+C39</f>
        <v>7222</v>
      </c>
      <c r="N39" s="28"/>
    </row>
    <row r="40" spans="1:14">
      <c r="A40" s="19">
        <v>3</v>
      </c>
      <c r="B40" s="28" t="s">
        <v>16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481</v>
      </c>
      <c r="M40" s="19">
        <f t="shared" si="0"/>
        <v>481</v>
      </c>
      <c r="N40" s="28"/>
    </row>
    <row r="41" spans="1:14">
      <c r="A41" s="19">
        <v>4</v>
      </c>
      <c r="B41" s="28" t="s">
        <v>17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255</v>
      </c>
      <c r="M41" s="19">
        <f t="shared" si="0"/>
        <v>255</v>
      </c>
      <c r="N41" s="28"/>
    </row>
    <row r="42" spans="1:14">
      <c r="A42" s="19">
        <v>5</v>
      </c>
      <c r="B42" s="28" t="s">
        <v>18</v>
      </c>
      <c r="C42" s="19">
        <v>0</v>
      </c>
      <c r="D42" s="19">
        <v>0</v>
      </c>
      <c r="E42" s="19">
        <v>0</v>
      </c>
      <c r="F42" s="19">
        <v>680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185</v>
      </c>
      <c r="M42" s="19">
        <f t="shared" si="0"/>
        <v>865</v>
      </c>
      <c r="N42" s="28"/>
    </row>
    <row r="43" spans="1:14">
      <c r="A43" s="19">
        <v>6</v>
      </c>
      <c r="B43" s="28" t="s">
        <v>19</v>
      </c>
      <c r="C43" s="19">
        <v>0</v>
      </c>
      <c r="D43" s="19">
        <v>0</v>
      </c>
      <c r="E43" s="19">
        <v>0</v>
      </c>
      <c r="F43" s="19">
        <v>1.2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76.8</v>
      </c>
      <c r="M43" s="19">
        <f t="shared" si="0"/>
        <v>78</v>
      </c>
      <c r="N43" s="28"/>
    </row>
    <row r="44" spans="1:14">
      <c r="A44" s="19">
        <v>7</v>
      </c>
      <c r="B44" s="28" t="s">
        <v>20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190</v>
      </c>
      <c r="M44" s="19">
        <f t="shared" si="0"/>
        <v>190</v>
      </c>
      <c r="N44" s="28"/>
    </row>
    <row r="45" spans="1:14">
      <c r="A45" s="19">
        <v>8</v>
      </c>
      <c r="B45" s="28" t="s">
        <v>22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175</v>
      </c>
      <c r="M45" s="19">
        <f t="shared" si="0"/>
        <v>175</v>
      </c>
      <c r="N45" s="28"/>
    </row>
    <row r="46" spans="1:14">
      <c r="A46" s="19">
        <v>9</v>
      </c>
      <c r="B46" s="28" t="s">
        <v>23</v>
      </c>
      <c r="C46" s="19">
        <v>0</v>
      </c>
      <c r="D46" s="19">
        <v>0</v>
      </c>
      <c r="E46" s="19">
        <v>0</v>
      </c>
      <c r="F46" s="19">
        <v>0.8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f t="shared" si="0"/>
        <v>0.8</v>
      </c>
      <c r="N46" s="28"/>
    </row>
    <row r="47" spans="1:14">
      <c r="A47" s="19">
        <v>10</v>
      </c>
      <c r="B47" s="28" t="s">
        <v>25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f t="shared" si="0"/>
        <v>0</v>
      </c>
      <c r="N47" s="28"/>
    </row>
    <row r="48" spans="1:14">
      <c r="A48" s="19">
        <v>11</v>
      </c>
      <c r="B48" s="28" t="s">
        <v>26</v>
      </c>
      <c r="C48" s="19">
        <v>360</v>
      </c>
      <c r="D48" s="19">
        <v>0</v>
      </c>
      <c r="E48" s="19">
        <v>0</v>
      </c>
      <c r="F48" s="19">
        <v>384</v>
      </c>
      <c r="G48" s="19">
        <v>354</v>
      </c>
      <c r="H48" s="19">
        <v>0</v>
      </c>
      <c r="I48" s="19">
        <v>0</v>
      </c>
      <c r="J48" s="19">
        <v>0</v>
      </c>
      <c r="K48" s="19">
        <v>0</v>
      </c>
      <c r="L48" s="19">
        <v>80</v>
      </c>
      <c r="M48" s="19">
        <f t="shared" si="0"/>
        <v>1178</v>
      </c>
      <c r="N48" s="28"/>
    </row>
    <row r="49" spans="1:14">
      <c r="A49" s="19">
        <v>12</v>
      </c>
      <c r="B49" s="28" t="s">
        <v>27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f t="shared" si="0"/>
        <v>0</v>
      </c>
      <c r="N49" s="28"/>
    </row>
    <row r="50" spans="1:14">
      <c r="A50" s="19">
        <v>13</v>
      </c>
      <c r="B50" s="28" t="s">
        <v>28</v>
      </c>
      <c r="C50" s="19">
        <v>3740</v>
      </c>
      <c r="D50" s="19">
        <v>544</v>
      </c>
      <c r="E50" s="19">
        <v>782</v>
      </c>
      <c r="F50" s="19">
        <v>425</v>
      </c>
      <c r="G50" s="19">
        <v>1802</v>
      </c>
      <c r="H50" s="19">
        <v>0</v>
      </c>
      <c r="I50" s="19">
        <v>190</v>
      </c>
      <c r="J50" s="19">
        <v>255</v>
      </c>
      <c r="K50" s="19">
        <v>170</v>
      </c>
      <c r="L50" s="19">
        <v>1588</v>
      </c>
      <c r="M50" s="19">
        <f t="shared" si="0"/>
        <v>9496</v>
      </c>
      <c r="N50" s="28"/>
    </row>
    <row r="51" spans="1:14">
      <c r="A51" s="19">
        <v>14</v>
      </c>
      <c r="B51" s="28" t="s">
        <v>29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f t="shared" si="0"/>
        <v>0</v>
      </c>
      <c r="N51" s="28"/>
    </row>
    <row r="52" spans="1:14">
      <c r="A52" s="19">
        <v>15</v>
      </c>
      <c r="B52" s="28" t="s">
        <v>30</v>
      </c>
      <c r="C52" s="19">
        <v>369</v>
      </c>
      <c r="D52" s="19">
        <v>0</v>
      </c>
      <c r="E52" s="19">
        <v>0</v>
      </c>
      <c r="F52" s="19">
        <v>230</v>
      </c>
      <c r="G52" s="19">
        <v>150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f t="shared" si="0"/>
        <v>749</v>
      </c>
      <c r="N52" s="28"/>
    </row>
    <row r="53" spans="1:14">
      <c r="A53" s="19">
        <v>16</v>
      </c>
      <c r="B53" s="28" t="s">
        <v>31</v>
      </c>
      <c r="C53" s="19">
        <v>0</v>
      </c>
      <c r="D53" s="19">
        <v>0</v>
      </c>
      <c r="E53" s="19">
        <v>0</v>
      </c>
      <c r="F53" s="19">
        <v>530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3998.44</v>
      </c>
      <c r="M53" s="19">
        <f t="shared" si="0"/>
        <v>4528.4400000000005</v>
      </c>
      <c r="N53" s="28"/>
    </row>
    <row r="54" spans="1:14">
      <c r="A54" s="19">
        <v>17</v>
      </c>
      <c r="B54" s="28" t="s">
        <v>32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f t="shared" si="0"/>
        <v>0</v>
      </c>
      <c r="N54" s="28"/>
    </row>
    <row r="55" spans="1:14">
      <c r="A55" s="19">
        <v>18</v>
      </c>
      <c r="B55" s="28" t="s">
        <v>33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f t="shared" si="0"/>
        <v>0</v>
      </c>
      <c r="N55" s="28"/>
    </row>
    <row r="56" spans="1:14">
      <c r="A56" s="19">
        <v>19</v>
      </c>
      <c r="B56" s="28" t="s">
        <v>34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f t="shared" si="0"/>
        <v>0</v>
      </c>
      <c r="N56" s="28"/>
    </row>
    <row r="57" spans="1:14">
      <c r="A57" s="19">
        <v>20</v>
      </c>
      <c r="B57" s="28" t="s">
        <v>35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f t="shared" si="0"/>
        <v>0</v>
      </c>
      <c r="N57" s="28"/>
    </row>
    <row r="58" spans="1:14">
      <c r="A58" s="19">
        <v>21</v>
      </c>
      <c r="B58" s="28" t="s">
        <v>36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f t="shared" si="0"/>
        <v>0</v>
      </c>
      <c r="N58" s="28"/>
    </row>
    <row r="59" spans="1:14">
      <c r="A59" s="19">
        <v>22</v>
      </c>
      <c r="B59" s="28" t="s">
        <v>37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f t="shared" si="0"/>
        <v>0</v>
      </c>
      <c r="N59" s="28"/>
    </row>
    <row r="60" spans="1:14">
      <c r="A60" s="19">
        <v>23</v>
      </c>
      <c r="B60" s="28" t="s">
        <v>38</v>
      </c>
      <c r="C60" s="19">
        <v>0</v>
      </c>
      <c r="D60" s="19">
        <v>0</v>
      </c>
      <c r="E60" s="19">
        <v>18</v>
      </c>
      <c r="F60" s="19">
        <v>0</v>
      </c>
      <c r="G60" s="19">
        <v>60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f>L60+K60+J60+I60+H60+G60+F60+E60+D60+C60</f>
        <v>78</v>
      </c>
      <c r="N60" s="28"/>
    </row>
    <row r="61" spans="1:14">
      <c r="A61" s="19">
        <v>24</v>
      </c>
      <c r="B61" s="28" t="s">
        <v>39</v>
      </c>
      <c r="C61" s="19">
        <v>84</v>
      </c>
      <c r="D61" s="19">
        <v>0</v>
      </c>
      <c r="E61" s="19">
        <v>0</v>
      </c>
      <c r="F61" s="19">
        <v>0</v>
      </c>
      <c r="G61" s="19">
        <v>84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f t="shared" si="0"/>
        <v>168</v>
      </c>
      <c r="N61" s="28"/>
    </row>
    <row r="62" spans="1:14">
      <c r="A62" s="19">
        <v>25</v>
      </c>
      <c r="B62" s="28" t="s">
        <v>40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f t="shared" si="0"/>
        <v>0</v>
      </c>
      <c r="N62" s="28"/>
    </row>
    <row r="63" spans="1:14">
      <c r="A63" s="19">
        <v>26</v>
      </c>
      <c r="B63" s="28" t="s">
        <v>41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f t="shared" si="0"/>
        <v>0</v>
      </c>
      <c r="N63" s="28"/>
    </row>
    <row r="64" spans="1:14">
      <c r="A64" s="19">
        <v>27</v>
      </c>
      <c r="B64" s="28" t="s">
        <v>42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f t="shared" si="0"/>
        <v>0</v>
      </c>
      <c r="N64" s="28"/>
    </row>
    <row r="65" spans="1:14">
      <c r="A65" s="28"/>
      <c r="B65" s="28"/>
      <c r="C65" s="271">
        <f t="shared" ref="C65:L65" si="1">SUM(C38:C64)</f>
        <v>9533</v>
      </c>
      <c r="D65" s="176">
        <f t="shared" si="1"/>
        <v>544</v>
      </c>
      <c r="E65" s="176">
        <f t="shared" si="1"/>
        <v>1028</v>
      </c>
      <c r="F65" s="176">
        <v>27577</v>
      </c>
      <c r="G65" s="176">
        <f t="shared" si="1"/>
        <v>6548</v>
      </c>
      <c r="H65" s="176">
        <f t="shared" si="1"/>
        <v>0</v>
      </c>
      <c r="I65" s="176">
        <f t="shared" si="1"/>
        <v>190</v>
      </c>
      <c r="J65" s="176">
        <f t="shared" si="1"/>
        <v>255</v>
      </c>
      <c r="K65" s="176">
        <f t="shared" si="1"/>
        <v>170</v>
      </c>
      <c r="L65" s="176">
        <f t="shared" si="1"/>
        <v>16538.23</v>
      </c>
      <c r="M65" s="176">
        <f>SUM(M38:M64)</f>
        <v>39690.229999999996</v>
      </c>
      <c r="N65" s="28"/>
    </row>
  </sheetData>
  <mergeCells count="2">
    <mergeCell ref="A1:P1"/>
    <mergeCell ref="A30:B30"/>
  </mergeCells>
  <pageMargins left="0.7" right="0.7" top="0.75" bottom="0.75" header="0.3" footer="0.3"/>
  <pageSetup paperSize="9" scale="7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F90-B31A-46D2-AFDE-22785C1CA3BF}">
  <sheetPr>
    <pageSetUpPr fitToPage="1"/>
  </sheetPr>
  <dimension ref="A1:O67"/>
  <sheetViews>
    <sheetView topLeftCell="A4" zoomScaleNormal="100" workbookViewId="0">
      <selection activeCell="R16" sqref="R16"/>
    </sheetView>
  </sheetViews>
  <sheetFormatPr defaultRowHeight="15"/>
  <cols>
    <col min="2" max="2" width="26" bestFit="1" customWidth="1"/>
    <col min="3" max="3" width="11.5703125" bestFit="1" customWidth="1"/>
    <col min="4" max="4" width="13.7109375" bestFit="1" customWidth="1"/>
    <col min="5" max="5" width="9.85546875" bestFit="1" customWidth="1"/>
    <col min="6" max="6" width="10.140625" customWidth="1"/>
    <col min="7" max="7" width="11.7109375" customWidth="1"/>
    <col min="8" max="8" width="10.5703125" bestFit="1" customWidth="1"/>
    <col min="14" max="14" width="13.28515625" bestFit="1" customWidth="1"/>
  </cols>
  <sheetData>
    <row r="1" spans="1:15" ht="21">
      <c r="A1" s="288" t="s">
        <v>212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</row>
    <row r="2" spans="1:15" ht="15.75">
      <c r="A2" s="17" t="s">
        <v>1</v>
      </c>
      <c r="B2" s="17" t="s">
        <v>3</v>
      </c>
      <c r="C2" s="17" t="s">
        <v>214</v>
      </c>
      <c r="D2" s="17" t="s">
        <v>215</v>
      </c>
      <c r="E2" s="17" t="s">
        <v>50</v>
      </c>
      <c r="F2" s="17" t="s">
        <v>216</v>
      </c>
      <c r="G2" s="17" t="s">
        <v>217</v>
      </c>
      <c r="H2" s="17" t="s">
        <v>54</v>
      </c>
      <c r="I2" s="17" t="s">
        <v>52</v>
      </c>
      <c r="J2" s="17" t="s">
        <v>61</v>
      </c>
      <c r="K2" s="17" t="s">
        <v>218</v>
      </c>
      <c r="L2" s="17" t="s">
        <v>86</v>
      </c>
      <c r="M2" s="17" t="s">
        <v>219</v>
      </c>
      <c r="N2" s="17" t="s">
        <v>110</v>
      </c>
      <c r="O2" s="17" t="s">
        <v>211</v>
      </c>
    </row>
    <row r="3" spans="1:15" ht="15.75">
      <c r="A3" s="19">
        <v>1</v>
      </c>
      <c r="B3" s="21" t="s">
        <v>14</v>
      </c>
      <c r="C3" s="17">
        <v>195012</v>
      </c>
      <c r="D3" s="20">
        <v>0</v>
      </c>
      <c r="E3" s="20">
        <v>139937</v>
      </c>
      <c r="F3" s="31">
        <v>16400</v>
      </c>
      <c r="G3" s="20">
        <v>3640.5</v>
      </c>
      <c r="H3" s="270">
        <v>30310.5</v>
      </c>
      <c r="I3" s="270">
        <v>160453.76000000001</v>
      </c>
      <c r="J3" s="20">
        <v>57847</v>
      </c>
      <c r="K3" s="20">
        <v>26765</v>
      </c>
      <c r="L3" s="31">
        <v>177273</v>
      </c>
      <c r="M3" s="20">
        <v>573</v>
      </c>
      <c r="N3" s="20">
        <f t="shared" ref="N3:N29" si="0">SUM(C3:M3)</f>
        <v>808211.76</v>
      </c>
      <c r="O3" s="20"/>
    </row>
    <row r="4" spans="1:15" ht="15.75">
      <c r="A4" s="19">
        <v>2</v>
      </c>
      <c r="B4" s="21" t="s">
        <v>15</v>
      </c>
      <c r="C4" s="17">
        <v>16489</v>
      </c>
      <c r="D4" s="20">
        <v>135</v>
      </c>
      <c r="E4" s="20">
        <v>72232</v>
      </c>
      <c r="F4" s="31">
        <v>13190</v>
      </c>
      <c r="G4" s="20">
        <v>9365</v>
      </c>
      <c r="H4" s="270">
        <v>5444.4</v>
      </c>
      <c r="I4" s="270">
        <v>19489</v>
      </c>
      <c r="J4" s="20">
        <v>8319</v>
      </c>
      <c r="K4" s="20">
        <v>14012</v>
      </c>
      <c r="L4" s="31">
        <v>43357</v>
      </c>
      <c r="M4" s="20">
        <v>249</v>
      </c>
      <c r="N4" s="20">
        <f t="shared" si="0"/>
        <v>202281.4</v>
      </c>
      <c r="O4" s="20"/>
    </row>
    <row r="5" spans="1:15" ht="15.75">
      <c r="A5" s="19">
        <v>3</v>
      </c>
      <c r="B5" s="21" t="s">
        <v>16</v>
      </c>
      <c r="C5" s="17">
        <v>114937</v>
      </c>
      <c r="D5" s="20">
        <v>141</v>
      </c>
      <c r="E5" s="20">
        <v>56915</v>
      </c>
      <c r="F5" s="31">
        <v>3570</v>
      </c>
      <c r="G5" s="20">
        <v>9990</v>
      </c>
      <c r="H5" s="270">
        <v>1911</v>
      </c>
      <c r="I5" s="270">
        <v>136873</v>
      </c>
      <c r="J5" s="20">
        <v>24640</v>
      </c>
      <c r="K5" s="20">
        <v>17499</v>
      </c>
      <c r="L5" s="31">
        <v>30745</v>
      </c>
      <c r="M5" s="20">
        <v>770</v>
      </c>
      <c r="N5" s="20">
        <f t="shared" si="0"/>
        <v>397991</v>
      </c>
      <c r="O5" s="20"/>
    </row>
    <row r="6" spans="1:15" ht="15.75">
      <c r="A6" s="19">
        <v>4</v>
      </c>
      <c r="B6" s="21" t="s">
        <v>17</v>
      </c>
      <c r="C6" s="17">
        <v>7032</v>
      </c>
      <c r="D6" s="20">
        <v>0</v>
      </c>
      <c r="E6" s="20">
        <v>1156</v>
      </c>
      <c r="F6" s="31">
        <v>0</v>
      </c>
      <c r="G6" s="20">
        <v>1785</v>
      </c>
      <c r="H6" s="270">
        <v>170</v>
      </c>
      <c r="I6" s="270">
        <v>8772</v>
      </c>
      <c r="J6" s="20">
        <v>1547</v>
      </c>
      <c r="K6" s="20">
        <v>255</v>
      </c>
      <c r="L6" s="31">
        <v>16456</v>
      </c>
      <c r="M6" s="20">
        <v>119</v>
      </c>
      <c r="N6" s="20">
        <f t="shared" si="0"/>
        <v>37292</v>
      </c>
      <c r="O6" s="20"/>
    </row>
    <row r="7" spans="1:15" ht="15.75">
      <c r="A7" s="19">
        <v>5</v>
      </c>
      <c r="B7" s="21" t="s">
        <v>18</v>
      </c>
      <c r="C7" s="17">
        <v>38418</v>
      </c>
      <c r="D7" s="20">
        <v>27</v>
      </c>
      <c r="E7" s="20">
        <v>3665.5</v>
      </c>
      <c r="F7" s="31">
        <v>1359</v>
      </c>
      <c r="G7" s="20">
        <v>5779.5</v>
      </c>
      <c r="H7" s="270">
        <v>2363</v>
      </c>
      <c r="I7" s="270">
        <v>44364.5</v>
      </c>
      <c r="J7" s="20">
        <v>12176.5</v>
      </c>
      <c r="K7" s="20">
        <v>6371</v>
      </c>
      <c r="L7" s="31">
        <v>39461</v>
      </c>
      <c r="M7" s="20">
        <v>220</v>
      </c>
      <c r="N7" s="20">
        <f t="shared" si="0"/>
        <v>154205</v>
      </c>
      <c r="O7" s="20"/>
    </row>
    <row r="8" spans="1:15" ht="15.75">
      <c r="A8" s="19">
        <v>6</v>
      </c>
      <c r="B8" s="21" t="s">
        <v>19</v>
      </c>
      <c r="C8" s="17">
        <v>6117.6</v>
      </c>
      <c r="D8" s="20">
        <v>10</v>
      </c>
      <c r="E8" s="20">
        <v>4715.2</v>
      </c>
      <c r="F8" s="31">
        <v>204</v>
      </c>
      <c r="G8" s="20">
        <v>578.9</v>
      </c>
      <c r="H8" s="270">
        <v>200.4</v>
      </c>
      <c r="I8" s="270">
        <v>8810.5</v>
      </c>
      <c r="J8" s="20">
        <v>1585.2</v>
      </c>
      <c r="K8" s="20">
        <v>1618</v>
      </c>
      <c r="L8" s="31">
        <v>3428.5</v>
      </c>
      <c r="M8" s="20">
        <v>0</v>
      </c>
      <c r="N8" s="20">
        <f t="shared" si="0"/>
        <v>27268.3</v>
      </c>
      <c r="O8" s="20"/>
    </row>
    <row r="9" spans="1:15" ht="15.75">
      <c r="A9" s="19">
        <v>7</v>
      </c>
      <c r="B9" s="24" t="s">
        <v>20</v>
      </c>
      <c r="C9" s="17">
        <v>22418</v>
      </c>
      <c r="D9" s="20">
        <v>0</v>
      </c>
      <c r="E9" s="20">
        <v>953.85</v>
      </c>
      <c r="F9" s="31">
        <v>0</v>
      </c>
      <c r="G9" s="20">
        <v>356.7</v>
      </c>
      <c r="H9" s="270">
        <v>1008</v>
      </c>
      <c r="I9" s="270">
        <v>17293.150000000001</v>
      </c>
      <c r="J9" s="20">
        <v>608</v>
      </c>
      <c r="K9" s="20">
        <v>247</v>
      </c>
      <c r="L9" s="31">
        <v>1337.5</v>
      </c>
      <c r="M9" s="20">
        <v>0</v>
      </c>
      <c r="N9" s="20">
        <f t="shared" si="0"/>
        <v>44222.2</v>
      </c>
      <c r="O9" s="20"/>
    </row>
    <row r="10" spans="1:15" ht="15.75">
      <c r="A10" s="19">
        <v>8</v>
      </c>
      <c r="B10" s="24" t="s">
        <v>22</v>
      </c>
      <c r="C10" s="17">
        <v>22592</v>
      </c>
      <c r="D10" s="20">
        <v>0</v>
      </c>
      <c r="E10" s="20">
        <v>14696</v>
      </c>
      <c r="F10" s="31">
        <v>567</v>
      </c>
      <c r="G10" s="20">
        <v>1513.8</v>
      </c>
      <c r="H10" s="270">
        <v>3159</v>
      </c>
      <c r="I10" s="270">
        <v>31196.55</v>
      </c>
      <c r="J10" s="20">
        <v>6586</v>
      </c>
      <c r="K10" s="20">
        <v>3560</v>
      </c>
      <c r="L10" s="31">
        <v>8366.2999999999993</v>
      </c>
      <c r="M10" s="20">
        <v>0</v>
      </c>
      <c r="N10" s="20">
        <f t="shared" si="0"/>
        <v>92236.650000000009</v>
      </c>
      <c r="O10" s="20"/>
    </row>
    <row r="11" spans="1:15" ht="15.75">
      <c r="A11" s="19">
        <v>9</v>
      </c>
      <c r="B11" s="24" t="s">
        <v>23</v>
      </c>
      <c r="C11" s="17">
        <v>978</v>
      </c>
      <c r="D11" s="20">
        <v>29.4</v>
      </c>
      <c r="E11" s="20">
        <v>2546</v>
      </c>
      <c r="F11" s="31">
        <v>0</v>
      </c>
      <c r="G11" s="20">
        <v>13.8</v>
      </c>
      <c r="H11" s="270">
        <v>0</v>
      </c>
      <c r="I11" s="270">
        <v>982.6</v>
      </c>
      <c r="J11" s="20">
        <v>1828</v>
      </c>
      <c r="K11" s="20">
        <v>611</v>
      </c>
      <c r="L11" s="31">
        <v>777.8</v>
      </c>
      <c r="M11" s="20">
        <v>0</v>
      </c>
      <c r="N11" s="20">
        <f t="shared" si="0"/>
        <v>7766.6</v>
      </c>
      <c r="O11" s="20"/>
    </row>
    <row r="12" spans="1:15" ht="15.75">
      <c r="A12" s="19">
        <v>10</v>
      </c>
      <c r="B12" s="24" t="s">
        <v>25</v>
      </c>
      <c r="C12" s="17">
        <v>105</v>
      </c>
      <c r="D12" s="20">
        <v>1300</v>
      </c>
      <c r="E12" s="20">
        <v>15422</v>
      </c>
      <c r="F12" s="31">
        <v>0</v>
      </c>
      <c r="G12" s="20">
        <v>0</v>
      </c>
      <c r="H12" s="270">
        <v>3510</v>
      </c>
      <c r="I12" s="270">
        <v>6803.6</v>
      </c>
      <c r="J12" s="20">
        <v>571</v>
      </c>
      <c r="K12" s="20">
        <f>725+400</f>
        <v>1125</v>
      </c>
      <c r="L12" s="31">
        <v>465</v>
      </c>
      <c r="M12" s="20">
        <v>0</v>
      </c>
      <c r="N12" s="20">
        <f t="shared" si="0"/>
        <v>29301.599999999999</v>
      </c>
      <c r="O12" s="20"/>
    </row>
    <row r="13" spans="1:15" ht="15.75">
      <c r="A13" s="19">
        <v>11</v>
      </c>
      <c r="B13" s="24" t="s">
        <v>26</v>
      </c>
      <c r="C13" s="17">
        <v>19598</v>
      </c>
      <c r="D13" s="20">
        <v>11</v>
      </c>
      <c r="E13" s="20">
        <v>18255.560000000001</v>
      </c>
      <c r="F13" s="31">
        <v>944.4</v>
      </c>
      <c r="G13" s="20">
        <v>120</v>
      </c>
      <c r="H13" s="270">
        <v>2484</v>
      </c>
      <c r="I13" s="270">
        <v>16691.689999999999</v>
      </c>
      <c r="J13" s="20">
        <v>10626</v>
      </c>
      <c r="K13" s="20">
        <v>2919</v>
      </c>
      <c r="L13" s="31">
        <v>7003</v>
      </c>
      <c r="M13" s="20">
        <v>0</v>
      </c>
      <c r="N13" s="20">
        <f t="shared" si="0"/>
        <v>78652.649999999994</v>
      </c>
      <c r="O13" s="20"/>
    </row>
    <row r="14" spans="1:15" ht="15.75">
      <c r="A14" s="19">
        <v>12</v>
      </c>
      <c r="B14" s="21" t="s">
        <v>27</v>
      </c>
      <c r="C14" s="17">
        <v>0</v>
      </c>
      <c r="D14" s="20">
        <v>0</v>
      </c>
      <c r="E14" s="20">
        <v>0</v>
      </c>
      <c r="F14" s="31">
        <v>0</v>
      </c>
      <c r="G14" s="20">
        <v>0</v>
      </c>
      <c r="H14" s="270">
        <v>0</v>
      </c>
      <c r="I14" s="270">
        <v>110.6</v>
      </c>
      <c r="J14" s="20">
        <v>0</v>
      </c>
      <c r="K14" s="20">
        <v>0</v>
      </c>
      <c r="L14" s="31">
        <v>2628</v>
      </c>
      <c r="M14" s="20">
        <v>0</v>
      </c>
      <c r="N14" s="20">
        <f t="shared" si="0"/>
        <v>2738.6</v>
      </c>
      <c r="O14" s="20"/>
    </row>
    <row r="15" spans="1:15" ht="15.75">
      <c r="A15" s="19">
        <v>13</v>
      </c>
      <c r="B15" s="25" t="s">
        <v>28</v>
      </c>
      <c r="C15" s="17">
        <v>59750</v>
      </c>
      <c r="D15" s="20">
        <v>133.30000000000001</v>
      </c>
      <c r="E15" s="20">
        <v>52416</v>
      </c>
      <c r="F15" s="31">
        <v>7528</v>
      </c>
      <c r="G15" s="20">
        <v>2565.5</v>
      </c>
      <c r="H15" s="270">
        <v>5928</v>
      </c>
      <c r="I15" s="270">
        <v>44092</v>
      </c>
      <c r="J15" s="20">
        <v>24845</v>
      </c>
      <c r="K15" s="20">
        <v>7632</v>
      </c>
      <c r="L15" s="31">
        <v>51878</v>
      </c>
      <c r="M15" s="20">
        <v>200</v>
      </c>
      <c r="N15" s="20">
        <f t="shared" si="0"/>
        <v>256967.8</v>
      </c>
      <c r="O15" s="20"/>
    </row>
    <row r="16" spans="1:15" ht="15.75">
      <c r="A16" s="19">
        <v>14</v>
      </c>
      <c r="B16" s="25" t="s">
        <v>29</v>
      </c>
      <c r="C16" s="17">
        <v>0</v>
      </c>
      <c r="D16" s="20">
        <v>0</v>
      </c>
      <c r="E16" s="20">
        <v>660</v>
      </c>
      <c r="F16" s="31">
        <v>0</v>
      </c>
      <c r="G16" s="20"/>
      <c r="H16" s="270">
        <v>414</v>
      </c>
      <c r="I16" s="270">
        <v>10104</v>
      </c>
      <c r="J16" s="20">
        <v>280</v>
      </c>
      <c r="K16" s="20">
        <v>0</v>
      </c>
      <c r="L16" s="31">
        <v>1444</v>
      </c>
      <c r="M16" s="20">
        <v>0</v>
      </c>
      <c r="N16" s="20">
        <f t="shared" si="0"/>
        <v>12902</v>
      </c>
      <c r="O16" s="20"/>
    </row>
    <row r="17" spans="1:15" ht="15.75">
      <c r="A17" s="19">
        <v>15</v>
      </c>
      <c r="B17" s="25" t="s">
        <v>30</v>
      </c>
      <c r="C17" s="17">
        <v>93523</v>
      </c>
      <c r="D17" s="20">
        <v>114</v>
      </c>
      <c r="E17" s="20">
        <v>104277</v>
      </c>
      <c r="F17" s="31">
        <v>2007</v>
      </c>
      <c r="G17" s="20">
        <v>7295.6</v>
      </c>
      <c r="H17" s="270">
        <v>7599</v>
      </c>
      <c r="I17" s="270">
        <v>72387</v>
      </c>
      <c r="J17" s="20">
        <v>30034</v>
      </c>
      <c r="K17" s="20">
        <v>11659</v>
      </c>
      <c r="L17" s="31">
        <v>17213</v>
      </c>
      <c r="M17" s="20">
        <v>900</v>
      </c>
      <c r="N17" s="20">
        <f t="shared" si="0"/>
        <v>347008.6</v>
      </c>
      <c r="O17" s="20"/>
    </row>
    <row r="18" spans="1:15" ht="15.75">
      <c r="A18" s="19">
        <v>16</v>
      </c>
      <c r="B18" s="25" t="s">
        <v>31</v>
      </c>
      <c r="C18" s="17">
        <v>42986</v>
      </c>
      <c r="D18" s="20">
        <v>2</v>
      </c>
      <c r="E18" s="20">
        <v>51223</v>
      </c>
      <c r="F18" s="31">
        <v>1262</v>
      </c>
      <c r="G18" s="20">
        <v>4043</v>
      </c>
      <c r="H18" s="270">
        <v>5198.2</v>
      </c>
      <c r="I18" s="270">
        <v>51915</v>
      </c>
      <c r="J18" s="20">
        <v>20351</v>
      </c>
      <c r="K18" s="20">
        <v>8394</v>
      </c>
      <c r="L18" s="31">
        <v>25602</v>
      </c>
      <c r="M18" s="20">
        <v>200</v>
      </c>
      <c r="N18" s="20">
        <f t="shared" si="0"/>
        <v>211176.2</v>
      </c>
      <c r="O18" s="20"/>
    </row>
    <row r="19" spans="1:15" ht="15.75">
      <c r="A19" s="19">
        <v>17</v>
      </c>
      <c r="B19" s="25" t="s">
        <v>32</v>
      </c>
      <c r="C19" s="17">
        <v>1450</v>
      </c>
      <c r="D19" s="20">
        <v>8</v>
      </c>
      <c r="E19" s="20">
        <v>14762</v>
      </c>
      <c r="F19" s="31">
        <v>0</v>
      </c>
      <c r="G19" s="20">
        <v>787.9</v>
      </c>
      <c r="H19" s="270">
        <v>100</v>
      </c>
      <c r="I19" s="270"/>
      <c r="J19" s="20"/>
      <c r="K19" s="20">
        <v>104</v>
      </c>
      <c r="L19" s="31">
        <v>5320</v>
      </c>
      <c r="M19" s="20">
        <v>0</v>
      </c>
      <c r="N19" s="20">
        <f t="shared" si="0"/>
        <v>22531.9</v>
      </c>
      <c r="O19" s="20"/>
    </row>
    <row r="20" spans="1:15" ht="15.75">
      <c r="A20" s="19">
        <v>18</v>
      </c>
      <c r="B20" s="25" t="s">
        <v>33</v>
      </c>
      <c r="C20" s="17">
        <v>12008</v>
      </c>
      <c r="D20" s="20">
        <v>385</v>
      </c>
      <c r="E20" s="20">
        <v>18275</v>
      </c>
      <c r="F20" s="31">
        <v>19.5</v>
      </c>
      <c r="G20" s="20">
        <v>1140</v>
      </c>
      <c r="H20" s="270">
        <v>4452</v>
      </c>
      <c r="I20" s="270">
        <v>22866</v>
      </c>
      <c r="J20" s="20">
        <v>8082</v>
      </c>
      <c r="K20" s="20">
        <v>8212</v>
      </c>
      <c r="L20" s="31">
        <v>20020</v>
      </c>
      <c r="M20" s="20">
        <v>0</v>
      </c>
      <c r="N20" s="20">
        <f t="shared" si="0"/>
        <v>95459.5</v>
      </c>
      <c r="O20" s="20"/>
    </row>
    <row r="21" spans="1:15" ht="15.75">
      <c r="A21" s="19">
        <v>19</v>
      </c>
      <c r="B21" s="25" t="s">
        <v>34</v>
      </c>
      <c r="C21" s="17">
        <v>12460</v>
      </c>
      <c r="D21" s="20">
        <v>0</v>
      </c>
      <c r="E21" s="20">
        <v>1344</v>
      </c>
      <c r="F21" s="31">
        <v>0</v>
      </c>
      <c r="G21" s="20">
        <v>0</v>
      </c>
      <c r="H21" s="270">
        <v>0</v>
      </c>
      <c r="I21" s="270">
        <v>0</v>
      </c>
      <c r="J21" s="20">
        <v>97</v>
      </c>
      <c r="K21" s="20">
        <v>552</v>
      </c>
      <c r="L21" s="31">
        <v>1409</v>
      </c>
      <c r="M21" s="20">
        <v>0</v>
      </c>
      <c r="N21" s="20">
        <f t="shared" si="0"/>
        <v>15862</v>
      </c>
      <c r="O21" s="20"/>
    </row>
    <row r="22" spans="1:15" ht="15.75">
      <c r="A22" s="19">
        <v>20</v>
      </c>
      <c r="B22" s="25" t="s">
        <v>35</v>
      </c>
      <c r="C22" s="17">
        <v>221</v>
      </c>
      <c r="D22" s="20">
        <v>2513</v>
      </c>
      <c r="E22" s="20">
        <v>200</v>
      </c>
      <c r="F22" s="31">
        <v>0</v>
      </c>
      <c r="G22" s="20">
        <v>0</v>
      </c>
      <c r="H22" s="270">
        <v>0</v>
      </c>
      <c r="I22" s="270">
        <v>0</v>
      </c>
      <c r="J22" s="20">
        <v>709</v>
      </c>
      <c r="K22" s="20">
        <v>0</v>
      </c>
      <c r="L22" s="31">
        <v>8342</v>
      </c>
      <c r="M22" s="20">
        <v>0</v>
      </c>
      <c r="N22" s="20">
        <f t="shared" si="0"/>
        <v>11985</v>
      </c>
      <c r="O22" s="20"/>
    </row>
    <row r="23" spans="1:15" ht="15.75">
      <c r="A23" s="19">
        <v>21</v>
      </c>
      <c r="B23" s="25" t="s">
        <v>36</v>
      </c>
      <c r="C23" s="17">
        <v>1700</v>
      </c>
      <c r="D23" s="20">
        <v>0</v>
      </c>
      <c r="E23" s="20">
        <v>0</v>
      </c>
      <c r="F23" s="31">
        <v>0</v>
      </c>
      <c r="G23" s="20">
        <v>0</v>
      </c>
      <c r="H23" s="270">
        <v>0</v>
      </c>
      <c r="I23" s="270">
        <v>700</v>
      </c>
      <c r="J23" s="20"/>
      <c r="K23" s="20">
        <v>0</v>
      </c>
      <c r="L23" s="31">
        <v>0</v>
      </c>
      <c r="M23" s="20">
        <v>0</v>
      </c>
      <c r="N23" s="20">
        <f t="shared" si="0"/>
        <v>2400</v>
      </c>
      <c r="O23" s="20"/>
    </row>
    <row r="24" spans="1:15" ht="15.75">
      <c r="A24" s="19">
        <v>22</v>
      </c>
      <c r="B24" s="25" t="s">
        <v>37</v>
      </c>
      <c r="C24" s="17">
        <v>6378</v>
      </c>
      <c r="D24" s="20">
        <v>395</v>
      </c>
      <c r="E24" s="20">
        <v>8363</v>
      </c>
      <c r="F24" s="31">
        <v>70</v>
      </c>
      <c r="G24" s="20">
        <v>800</v>
      </c>
      <c r="H24" s="270">
        <v>1054</v>
      </c>
      <c r="I24" s="270">
        <v>4140</v>
      </c>
      <c r="J24" s="20">
        <v>2957</v>
      </c>
      <c r="K24" s="20">
        <v>223</v>
      </c>
      <c r="L24" s="31">
        <v>1683</v>
      </c>
      <c r="M24" s="20">
        <v>0</v>
      </c>
      <c r="N24" s="20">
        <f t="shared" si="0"/>
        <v>26063</v>
      </c>
      <c r="O24" s="20"/>
    </row>
    <row r="25" spans="1:15" ht="15.75">
      <c r="A25" s="19">
        <v>23</v>
      </c>
      <c r="B25" s="21" t="s">
        <v>38</v>
      </c>
      <c r="C25" s="17">
        <v>0</v>
      </c>
      <c r="D25" s="20">
        <v>0</v>
      </c>
      <c r="E25" s="20">
        <v>0</v>
      </c>
      <c r="F25" s="31">
        <v>0</v>
      </c>
      <c r="G25" s="20">
        <v>0</v>
      </c>
      <c r="H25" s="270">
        <v>0</v>
      </c>
      <c r="I25" s="270">
        <v>0</v>
      </c>
      <c r="J25" s="20">
        <v>0</v>
      </c>
      <c r="K25" s="20">
        <v>0</v>
      </c>
      <c r="L25" s="31">
        <v>0</v>
      </c>
      <c r="M25" s="20">
        <v>0</v>
      </c>
      <c r="N25" s="20">
        <f t="shared" si="0"/>
        <v>0</v>
      </c>
      <c r="O25" s="20"/>
    </row>
    <row r="26" spans="1:15" ht="15.75">
      <c r="A26" s="19">
        <v>24</v>
      </c>
      <c r="B26" s="21" t="s">
        <v>39</v>
      </c>
      <c r="C26" s="17">
        <v>0</v>
      </c>
      <c r="D26" s="20">
        <v>0</v>
      </c>
      <c r="E26" s="20">
        <v>0</v>
      </c>
      <c r="F26" s="31">
        <v>0</v>
      </c>
      <c r="G26" s="20">
        <v>0</v>
      </c>
      <c r="H26" s="270">
        <v>0</v>
      </c>
      <c r="I26" s="270">
        <v>0</v>
      </c>
      <c r="J26" s="20">
        <v>0</v>
      </c>
      <c r="K26" s="20">
        <v>0</v>
      </c>
      <c r="L26" s="31">
        <v>0</v>
      </c>
      <c r="M26" s="20">
        <v>0</v>
      </c>
      <c r="N26" s="20">
        <f t="shared" si="0"/>
        <v>0</v>
      </c>
      <c r="O26" s="20"/>
    </row>
    <row r="27" spans="1:15" ht="15.75">
      <c r="A27" s="19">
        <v>25</v>
      </c>
      <c r="B27" s="21" t="s">
        <v>40</v>
      </c>
      <c r="C27" s="17">
        <v>0</v>
      </c>
      <c r="D27" s="20">
        <v>0</v>
      </c>
      <c r="E27" s="20">
        <v>0</v>
      </c>
      <c r="F27" s="31">
        <v>0</v>
      </c>
      <c r="G27" s="20">
        <v>0</v>
      </c>
      <c r="H27" s="270">
        <v>0</v>
      </c>
      <c r="I27" s="270">
        <v>0</v>
      </c>
      <c r="J27" s="20">
        <v>0</v>
      </c>
      <c r="K27" s="20">
        <v>0</v>
      </c>
      <c r="L27" s="31">
        <v>0</v>
      </c>
      <c r="M27" s="20">
        <v>0</v>
      </c>
      <c r="N27" s="20">
        <f t="shared" si="0"/>
        <v>0</v>
      </c>
      <c r="O27" s="20"/>
    </row>
    <row r="28" spans="1:15" ht="15.75">
      <c r="A28" s="19">
        <v>26</v>
      </c>
      <c r="B28" s="21" t="s">
        <v>41</v>
      </c>
      <c r="C28" s="17">
        <v>0</v>
      </c>
      <c r="D28" s="20">
        <v>0</v>
      </c>
      <c r="E28" s="20">
        <v>0</v>
      </c>
      <c r="F28" s="31">
        <v>0</v>
      </c>
      <c r="G28" s="20">
        <v>0</v>
      </c>
      <c r="H28" s="270">
        <v>0</v>
      </c>
      <c r="I28" s="270">
        <v>0</v>
      </c>
      <c r="J28" s="20">
        <v>0</v>
      </c>
      <c r="K28" s="20">
        <v>0</v>
      </c>
      <c r="L28" s="31">
        <v>0</v>
      </c>
      <c r="M28" s="20">
        <v>0</v>
      </c>
      <c r="N28" s="20">
        <f t="shared" si="0"/>
        <v>0</v>
      </c>
      <c r="O28" s="20"/>
    </row>
    <row r="29" spans="1:15" ht="15.75">
      <c r="A29" s="19">
        <v>27</v>
      </c>
      <c r="B29" s="21" t="s">
        <v>42</v>
      </c>
      <c r="C29" s="20">
        <v>0</v>
      </c>
      <c r="D29" s="20">
        <v>0</v>
      </c>
      <c r="E29" s="20">
        <v>0</v>
      </c>
      <c r="F29" s="31">
        <v>0</v>
      </c>
      <c r="G29" s="20">
        <v>0</v>
      </c>
      <c r="H29" s="27">
        <v>0</v>
      </c>
      <c r="I29" s="27"/>
      <c r="J29" s="20">
        <v>0</v>
      </c>
      <c r="K29" s="19">
        <v>0</v>
      </c>
      <c r="L29" s="31">
        <v>0</v>
      </c>
      <c r="M29" s="20">
        <v>0</v>
      </c>
      <c r="N29" s="20">
        <f t="shared" si="0"/>
        <v>0</v>
      </c>
      <c r="O29" s="20"/>
    </row>
    <row r="30" spans="1:15">
      <c r="A30" s="20"/>
      <c r="B30" s="20"/>
      <c r="C30" s="188">
        <f t="shared" ref="C30:N30" si="1">SUM(C3:C29)</f>
        <v>674172.6</v>
      </c>
      <c r="D30" s="175">
        <f t="shared" si="1"/>
        <v>5203.7</v>
      </c>
      <c r="E30" s="176">
        <f t="shared" si="1"/>
        <v>582014.11</v>
      </c>
      <c r="F30" s="176">
        <f t="shared" si="1"/>
        <v>47120.9</v>
      </c>
      <c r="G30" s="175">
        <f t="shared" si="1"/>
        <v>49775.200000000004</v>
      </c>
      <c r="H30" s="188">
        <f t="shared" si="1"/>
        <v>75305.5</v>
      </c>
      <c r="I30" s="175">
        <f t="shared" si="1"/>
        <v>658044.94999999995</v>
      </c>
      <c r="J30" s="175">
        <f t="shared" si="1"/>
        <v>213688.7</v>
      </c>
      <c r="K30" s="175">
        <f t="shared" si="1"/>
        <v>111758</v>
      </c>
      <c r="L30" s="175">
        <f t="shared" si="1"/>
        <v>464209.1</v>
      </c>
      <c r="M30" s="175">
        <f t="shared" si="1"/>
        <v>3231</v>
      </c>
      <c r="N30" s="188">
        <f t="shared" si="1"/>
        <v>2884523.7600000002</v>
      </c>
      <c r="O30" s="30"/>
    </row>
    <row r="31" spans="1:15">
      <c r="A31" s="28"/>
      <c r="B31" s="28"/>
      <c r="C31" s="28"/>
      <c r="D31" s="28"/>
      <c r="E31" s="28"/>
      <c r="F31" s="19"/>
      <c r="G31" s="28"/>
      <c r="H31" s="28"/>
      <c r="I31" s="28"/>
      <c r="J31" s="28"/>
      <c r="K31" s="28"/>
      <c r="L31" s="28"/>
      <c r="M31" s="28"/>
      <c r="N31" s="40">
        <f>SUM(C30:M30)</f>
        <v>2884523.76</v>
      </c>
      <c r="O31" s="28"/>
    </row>
    <row r="32" spans="1:15">
      <c r="N32" s="43"/>
    </row>
    <row r="34" spans="1:7">
      <c r="A34" s="296" t="s">
        <v>213</v>
      </c>
      <c r="B34" s="296"/>
      <c r="C34" s="296"/>
      <c r="D34" s="296"/>
      <c r="E34" s="296"/>
      <c r="F34" s="45"/>
    </row>
    <row r="35" spans="1:7" ht="15.75">
      <c r="A35" s="190" t="s">
        <v>1</v>
      </c>
      <c r="B35" s="190" t="s">
        <v>3</v>
      </c>
      <c r="C35" s="190" t="s">
        <v>220</v>
      </c>
      <c r="D35" s="190" t="s">
        <v>221</v>
      </c>
      <c r="E35" s="190" t="s">
        <v>222</v>
      </c>
      <c r="F35" s="272" t="s">
        <v>223</v>
      </c>
      <c r="G35" s="176" t="s">
        <v>110</v>
      </c>
    </row>
    <row r="36" spans="1:7" ht="15.75">
      <c r="A36" s="19">
        <v>1</v>
      </c>
      <c r="B36" s="21" t="s">
        <v>14</v>
      </c>
      <c r="C36" s="17">
        <v>1940</v>
      </c>
      <c r="D36" s="20">
        <v>1835</v>
      </c>
      <c r="E36" s="20">
        <v>2025</v>
      </c>
      <c r="F36" s="19">
        <v>584</v>
      </c>
      <c r="G36" s="19">
        <f>SUM(C36:F36)</f>
        <v>6384</v>
      </c>
    </row>
    <row r="37" spans="1:7" ht="15.75">
      <c r="A37" s="19">
        <v>2</v>
      </c>
      <c r="B37" s="21" t="s">
        <v>15</v>
      </c>
      <c r="C37" s="17">
        <v>0</v>
      </c>
      <c r="D37" s="20">
        <v>0</v>
      </c>
      <c r="E37" s="20">
        <v>0</v>
      </c>
      <c r="F37" s="19">
        <v>0</v>
      </c>
      <c r="G37" s="19">
        <f t="shared" ref="G37:G62" si="2">SUM(C37:F37)</f>
        <v>0</v>
      </c>
    </row>
    <row r="38" spans="1:7" ht="15.75">
      <c r="A38" s="19">
        <v>3</v>
      </c>
      <c r="B38" s="21" t="s">
        <v>16</v>
      </c>
      <c r="C38" s="17">
        <v>0</v>
      </c>
      <c r="D38" s="20">
        <v>0</v>
      </c>
      <c r="E38" s="20">
        <v>0</v>
      </c>
      <c r="F38" s="19">
        <v>0</v>
      </c>
      <c r="G38" s="19">
        <f t="shared" si="2"/>
        <v>0</v>
      </c>
    </row>
    <row r="39" spans="1:7" ht="15.75">
      <c r="A39" s="19">
        <v>4</v>
      </c>
      <c r="B39" s="21" t="s">
        <v>17</v>
      </c>
      <c r="C39" s="17">
        <v>0</v>
      </c>
      <c r="D39" s="20">
        <v>0</v>
      </c>
      <c r="E39" s="20">
        <v>0</v>
      </c>
      <c r="F39" s="19">
        <v>0</v>
      </c>
      <c r="G39" s="19">
        <f t="shared" si="2"/>
        <v>0</v>
      </c>
    </row>
    <row r="40" spans="1:7" ht="15.75">
      <c r="A40" s="19">
        <v>5</v>
      </c>
      <c r="B40" s="21" t="s">
        <v>18</v>
      </c>
      <c r="C40" s="17">
        <v>0</v>
      </c>
      <c r="D40" s="20">
        <v>0</v>
      </c>
      <c r="E40" s="20">
        <v>0</v>
      </c>
      <c r="F40" s="19">
        <v>0</v>
      </c>
      <c r="G40" s="19">
        <f t="shared" si="2"/>
        <v>0</v>
      </c>
    </row>
    <row r="41" spans="1:7" ht="15.75">
      <c r="A41" s="19">
        <v>6</v>
      </c>
      <c r="B41" s="21" t="s">
        <v>19</v>
      </c>
      <c r="C41" s="17">
        <v>0</v>
      </c>
      <c r="D41" s="20">
        <v>0</v>
      </c>
      <c r="E41" s="20">
        <v>0</v>
      </c>
      <c r="F41" s="19">
        <v>0</v>
      </c>
      <c r="G41" s="19">
        <f t="shared" si="2"/>
        <v>0</v>
      </c>
    </row>
    <row r="42" spans="1:7" ht="15.75">
      <c r="A42" s="19">
        <v>7</v>
      </c>
      <c r="B42" s="24" t="s">
        <v>20</v>
      </c>
      <c r="C42" s="17">
        <v>0</v>
      </c>
      <c r="D42" s="20">
        <v>0</v>
      </c>
      <c r="E42" s="20">
        <v>0</v>
      </c>
      <c r="F42" s="19">
        <v>0</v>
      </c>
      <c r="G42" s="19">
        <f t="shared" si="2"/>
        <v>0</v>
      </c>
    </row>
    <row r="43" spans="1:7" ht="15.75">
      <c r="A43" s="19">
        <v>8</v>
      </c>
      <c r="B43" s="24" t="s">
        <v>22</v>
      </c>
      <c r="C43" s="17">
        <v>0</v>
      </c>
      <c r="D43" s="20">
        <v>0</v>
      </c>
      <c r="E43" s="20">
        <v>0</v>
      </c>
      <c r="F43" s="19">
        <v>0</v>
      </c>
      <c r="G43" s="19">
        <f t="shared" si="2"/>
        <v>0</v>
      </c>
    </row>
    <row r="44" spans="1:7" ht="15.75">
      <c r="A44" s="19">
        <v>9</v>
      </c>
      <c r="B44" s="24" t="s">
        <v>23</v>
      </c>
      <c r="C44" s="17">
        <v>0</v>
      </c>
      <c r="D44" s="20">
        <v>0</v>
      </c>
      <c r="E44" s="20">
        <v>0</v>
      </c>
      <c r="F44" s="19">
        <v>0</v>
      </c>
      <c r="G44" s="19">
        <f t="shared" si="2"/>
        <v>0</v>
      </c>
    </row>
    <row r="45" spans="1:7" ht="15.75">
      <c r="A45" s="19">
        <v>10</v>
      </c>
      <c r="B45" s="24" t="s">
        <v>25</v>
      </c>
      <c r="C45" s="17">
        <v>0</v>
      </c>
      <c r="D45" s="20">
        <v>0</v>
      </c>
      <c r="E45" s="20">
        <v>0</v>
      </c>
      <c r="F45" s="19">
        <v>0</v>
      </c>
      <c r="G45" s="19">
        <f t="shared" si="2"/>
        <v>0</v>
      </c>
    </row>
    <row r="46" spans="1:7" ht="15.75">
      <c r="A46" s="19">
        <v>11</v>
      </c>
      <c r="B46" s="24" t="s">
        <v>26</v>
      </c>
      <c r="C46" s="17">
        <v>360</v>
      </c>
      <c r="D46" s="20">
        <v>416</v>
      </c>
      <c r="E46" s="20">
        <v>372</v>
      </c>
      <c r="F46" s="19">
        <v>0</v>
      </c>
      <c r="G46" s="19">
        <f t="shared" si="2"/>
        <v>1148</v>
      </c>
    </row>
    <row r="47" spans="1:7" ht="15.75">
      <c r="A47" s="19">
        <v>12</v>
      </c>
      <c r="B47" s="21" t="s">
        <v>27</v>
      </c>
      <c r="C47" s="17">
        <v>0</v>
      </c>
      <c r="D47" s="20">
        <v>0</v>
      </c>
      <c r="E47" s="20">
        <v>0</v>
      </c>
      <c r="F47" s="19">
        <v>0</v>
      </c>
      <c r="G47" s="19">
        <f t="shared" si="2"/>
        <v>0</v>
      </c>
    </row>
    <row r="48" spans="1:7" ht="15.75">
      <c r="A48" s="19">
        <v>13</v>
      </c>
      <c r="B48" s="25" t="s">
        <v>28</v>
      </c>
      <c r="C48" s="17">
        <v>3237</v>
      </c>
      <c r="D48" s="20">
        <v>1953</v>
      </c>
      <c r="E48" s="20">
        <v>1971</v>
      </c>
      <c r="F48" s="19">
        <v>180</v>
      </c>
      <c r="G48" s="19">
        <f t="shared" si="2"/>
        <v>7341</v>
      </c>
    </row>
    <row r="49" spans="1:7" ht="15.75">
      <c r="A49" s="19">
        <v>14</v>
      </c>
      <c r="B49" s="25" t="s">
        <v>29</v>
      </c>
      <c r="C49" s="17">
        <v>0</v>
      </c>
      <c r="D49" s="20">
        <v>0</v>
      </c>
      <c r="E49" s="20">
        <v>0</v>
      </c>
      <c r="F49" s="19">
        <v>0</v>
      </c>
      <c r="G49" s="19">
        <f t="shared" si="2"/>
        <v>0</v>
      </c>
    </row>
    <row r="50" spans="1:7" ht="15.75">
      <c r="A50" s="19">
        <v>15</v>
      </c>
      <c r="B50" s="25" t="s">
        <v>30</v>
      </c>
      <c r="C50" s="17">
        <v>0</v>
      </c>
      <c r="D50" s="20">
        <v>10</v>
      </c>
      <c r="E50" s="20">
        <v>0</v>
      </c>
      <c r="F50" s="19">
        <v>0</v>
      </c>
      <c r="G50" s="19">
        <f t="shared" si="2"/>
        <v>10</v>
      </c>
    </row>
    <row r="51" spans="1:7" ht="15.75">
      <c r="A51" s="19">
        <v>16</v>
      </c>
      <c r="B51" s="25" t="s">
        <v>31</v>
      </c>
      <c r="C51" s="17">
        <v>0</v>
      </c>
      <c r="D51" s="20">
        <v>0</v>
      </c>
      <c r="E51" s="20">
        <v>0</v>
      </c>
      <c r="F51" s="19">
        <v>0</v>
      </c>
      <c r="G51" s="19">
        <f t="shared" si="2"/>
        <v>0</v>
      </c>
    </row>
    <row r="52" spans="1:7" ht="15.75">
      <c r="A52" s="19">
        <v>17</v>
      </c>
      <c r="B52" s="25" t="s">
        <v>32</v>
      </c>
      <c r="C52" s="17">
        <v>0</v>
      </c>
      <c r="D52" s="20">
        <v>0</v>
      </c>
      <c r="E52" s="20">
        <v>0</v>
      </c>
      <c r="F52" s="19">
        <v>0</v>
      </c>
      <c r="G52" s="19">
        <f t="shared" si="2"/>
        <v>0</v>
      </c>
    </row>
    <row r="53" spans="1:7" ht="15.75">
      <c r="A53" s="19">
        <v>18</v>
      </c>
      <c r="B53" s="25" t="s">
        <v>33</v>
      </c>
      <c r="C53" s="17">
        <v>0</v>
      </c>
      <c r="D53" s="20">
        <v>0</v>
      </c>
      <c r="E53" s="20">
        <v>20</v>
      </c>
      <c r="F53" s="19">
        <v>0</v>
      </c>
      <c r="G53" s="19">
        <f t="shared" si="2"/>
        <v>20</v>
      </c>
    </row>
    <row r="54" spans="1:7" ht="15.75">
      <c r="A54" s="19">
        <v>19</v>
      </c>
      <c r="B54" s="25" t="s">
        <v>34</v>
      </c>
      <c r="C54" s="17">
        <v>0</v>
      </c>
      <c r="D54" s="20">
        <v>0</v>
      </c>
      <c r="E54" s="20">
        <v>0</v>
      </c>
      <c r="F54" s="19">
        <v>0</v>
      </c>
      <c r="G54" s="19">
        <f t="shared" si="2"/>
        <v>0</v>
      </c>
    </row>
    <row r="55" spans="1:7" ht="15.75">
      <c r="A55" s="19">
        <v>20</v>
      </c>
      <c r="B55" s="25" t="s">
        <v>35</v>
      </c>
      <c r="C55" s="17">
        <v>0</v>
      </c>
      <c r="D55" s="20">
        <v>0</v>
      </c>
      <c r="E55" s="20">
        <v>0</v>
      </c>
      <c r="F55" s="19">
        <v>0</v>
      </c>
      <c r="G55" s="19">
        <f t="shared" si="2"/>
        <v>0</v>
      </c>
    </row>
    <row r="56" spans="1:7" ht="15.75">
      <c r="A56" s="19">
        <v>21</v>
      </c>
      <c r="B56" s="25" t="s">
        <v>36</v>
      </c>
      <c r="C56" s="17">
        <v>0</v>
      </c>
      <c r="D56" s="20">
        <v>0</v>
      </c>
      <c r="E56" s="20">
        <v>0</v>
      </c>
      <c r="F56" s="19">
        <v>0</v>
      </c>
      <c r="G56" s="19">
        <f t="shared" si="2"/>
        <v>0</v>
      </c>
    </row>
    <row r="57" spans="1:7" ht="15.75">
      <c r="A57" s="19">
        <v>22</v>
      </c>
      <c r="B57" s="25" t="s">
        <v>37</v>
      </c>
      <c r="C57" s="17">
        <v>137</v>
      </c>
      <c r="D57" s="20">
        <v>25</v>
      </c>
      <c r="E57" s="20">
        <v>42</v>
      </c>
      <c r="F57" s="19">
        <v>47</v>
      </c>
      <c r="G57" s="19">
        <f t="shared" si="2"/>
        <v>251</v>
      </c>
    </row>
    <row r="58" spans="1:7" ht="15.75">
      <c r="A58" s="19">
        <v>23</v>
      </c>
      <c r="B58" s="21" t="s">
        <v>38</v>
      </c>
      <c r="C58" s="17">
        <v>0</v>
      </c>
      <c r="D58" s="20">
        <v>0</v>
      </c>
      <c r="E58" s="20">
        <v>0</v>
      </c>
      <c r="F58" s="19">
        <v>0</v>
      </c>
      <c r="G58" s="19">
        <f t="shared" si="2"/>
        <v>0</v>
      </c>
    </row>
    <row r="59" spans="1:7" ht="15.75">
      <c r="A59" s="19">
        <v>24</v>
      </c>
      <c r="B59" s="21" t="s">
        <v>39</v>
      </c>
      <c r="C59" s="17">
        <v>0</v>
      </c>
      <c r="D59" s="20">
        <v>0</v>
      </c>
      <c r="E59" s="20">
        <v>0</v>
      </c>
      <c r="F59" s="19">
        <v>45</v>
      </c>
      <c r="G59" s="19">
        <f t="shared" si="2"/>
        <v>45</v>
      </c>
    </row>
    <row r="60" spans="1:7" ht="15.75">
      <c r="A60" s="19">
        <v>25</v>
      </c>
      <c r="B60" s="21" t="s">
        <v>40</v>
      </c>
      <c r="C60" s="17">
        <v>0</v>
      </c>
      <c r="D60" s="20">
        <v>0</v>
      </c>
      <c r="E60" s="20">
        <v>0</v>
      </c>
      <c r="F60" s="19">
        <v>0</v>
      </c>
      <c r="G60" s="19">
        <f t="shared" si="2"/>
        <v>0</v>
      </c>
    </row>
    <row r="61" spans="1:7" ht="15.75">
      <c r="A61" s="19">
        <v>26</v>
      </c>
      <c r="B61" s="21" t="s">
        <v>41</v>
      </c>
      <c r="C61" s="17">
        <v>0</v>
      </c>
      <c r="D61" s="20">
        <v>0</v>
      </c>
      <c r="E61" s="20">
        <v>0</v>
      </c>
      <c r="F61" s="19">
        <v>0</v>
      </c>
      <c r="G61" s="19">
        <f t="shared" si="2"/>
        <v>0</v>
      </c>
    </row>
    <row r="62" spans="1:7" ht="15.75">
      <c r="A62" s="19">
        <v>27</v>
      </c>
      <c r="B62" s="21" t="s">
        <v>42</v>
      </c>
      <c r="C62" s="20">
        <v>0</v>
      </c>
      <c r="D62" s="20">
        <v>0</v>
      </c>
      <c r="E62" s="20">
        <v>0</v>
      </c>
      <c r="F62" s="19">
        <v>0</v>
      </c>
      <c r="G62" s="19">
        <f t="shared" si="2"/>
        <v>0</v>
      </c>
    </row>
    <row r="63" spans="1:7">
      <c r="A63" s="20"/>
      <c r="B63" s="20"/>
      <c r="C63" s="188">
        <f>SUM(C36:C62)</f>
        <v>5674</v>
      </c>
      <c r="D63" s="175">
        <f>SUM(D36:D62)</f>
        <v>4239</v>
      </c>
      <c r="E63" s="176">
        <f>SUM(E36:E62)</f>
        <v>4430</v>
      </c>
      <c r="F63" s="176">
        <f>SUM(F36:F62)</f>
        <v>856</v>
      </c>
      <c r="G63" s="176"/>
    </row>
    <row r="64" spans="1:7">
      <c r="C64" s="273"/>
      <c r="D64" s="273"/>
      <c r="E64" s="273" t="s">
        <v>143</v>
      </c>
      <c r="F64" s="274"/>
      <c r="G64" s="275">
        <f>SUM(G36:G63)</f>
        <v>15199</v>
      </c>
    </row>
    <row r="67" spans="2:2">
      <c r="B67" s="43"/>
    </row>
  </sheetData>
  <mergeCells count="2">
    <mergeCell ref="A1:O1"/>
    <mergeCell ref="A34:E34"/>
  </mergeCells>
  <pageMargins left="0.7" right="0.7" top="0.75" bottom="0.75" header="0.3" footer="0.3"/>
  <pageSetup scale="52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449"/>
  <sheetViews>
    <sheetView topLeftCell="A271" zoomScaleNormal="100" zoomScaleSheetLayoutView="70" workbookViewId="0">
      <selection activeCell="J422" sqref="J422"/>
    </sheetView>
  </sheetViews>
  <sheetFormatPr defaultColWidth="9" defaultRowHeight="15"/>
  <cols>
    <col min="1" max="1" width="9.28515625" customWidth="1"/>
    <col min="2" max="2" width="28.42578125" customWidth="1"/>
    <col min="3" max="3" width="23" bestFit="1" customWidth="1"/>
    <col min="4" max="4" width="24.85546875" bestFit="1" customWidth="1"/>
    <col min="5" max="5" width="22.5703125" bestFit="1" customWidth="1"/>
    <col min="6" max="6" width="21.7109375" bestFit="1" customWidth="1"/>
    <col min="7" max="7" width="24" bestFit="1" customWidth="1"/>
    <col min="8" max="8" width="21.7109375" bestFit="1" customWidth="1"/>
    <col min="9" max="9" width="27.85546875" bestFit="1" customWidth="1"/>
    <col min="10" max="10" width="12.42578125" bestFit="1" customWidth="1"/>
    <col min="11" max="11" width="14.7109375" bestFit="1" customWidth="1"/>
    <col min="12" max="12" width="13.42578125" bestFit="1" customWidth="1"/>
    <col min="13" max="13" width="13.28515625" customWidth="1"/>
    <col min="14" max="14" width="12.28515625" customWidth="1"/>
    <col min="15" max="15" width="29.85546875" customWidth="1"/>
    <col min="16" max="16" width="35.7109375" customWidth="1"/>
    <col min="17" max="17" width="18" customWidth="1"/>
    <col min="18" max="18" width="33.85546875" customWidth="1"/>
    <col min="19" max="19" width="32.140625" customWidth="1"/>
    <col min="20" max="20" width="35.7109375" customWidth="1"/>
    <col min="21" max="21" width="33.7109375" customWidth="1"/>
    <col min="22" max="22" width="19.7109375" customWidth="1"/>
    <col min="23" max="23" width="18.85546875" customWidth="1"/>
    <col min="24" max="24" width="13.7109375" customWidth="1"/>
    <col min="25" max="25" width="14.140625" customWidth="1"/>
  </cols>
  <sheetData>
    <row r="1" spans="1:12">
      <c r="A1" s="297">
        <v>45874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9"/>
    </row>
    <row r="2" spans="1:12">
      <c r="A2" s="300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2"/>
    </row>
    <row r="3" spans="1:12" ht="18.75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57</v>
      </c>
      <c r="H3" s="1" t="s">
        <v>81</v>
      </c>
      <c r="I3" s="1" t="s">
        <v>82</v>
      </c>
      <c r="J3" s="1" t="s">
        <v>83</v>
      </c>
      <c r="K3" s="1" t="s">
        <v>47</v>
      </c>
      <c r="L3" s="1" t="s">
        <v>84</v>
      </c>
    </row>
    <row r="4" spans="1:12" ht="18.75">
      <c r="A4" s="2">
        <v>1</v>
      </c>
      <c r="B4" s="3" t="s">
        <v>85</v>
      </c>
      <c r="C4" s="4">
        <v>60027.1</v>
      </c>
      <c r="D4" s="5"/>
      <c r="E4" s="5"/>
      <c r="F4" s="5"/>
      <c r="G4" s="5"/>
      <c r="H4" s="4">
        <f t="shared" ref="H4:H17" si="0">C4+D4+E4+F4-G4</f>
        <v>60027.1</v>
      </c>
      <c r="I4" s="5"/>
      <c r="J4" s="5"/>
      <c r="K4" s="2"/>
      <c r="L4" s="2"/>
    </row>
    <row r="5" spans="1:12" ht="18.75">
      <c r="A5" s="2">
        <v>2</v>
      </c>
      <c r="B5" s="3" t="s">
        <v>48</v>
      </c>
      <c r="C5" s="6">
        <v>33870</v>
      </c>
      <c r="D5" s="5"/>
      <c r="E5" s="5"/>
      <c r="F5" s="7"/>
      <c r="G5" s="5"/>
      <c r="H5" s="4">
        <f t="shared" si="0"/>
        <v>33870</v>
      </c>
      <c r="I5" s="5"/>
      <c r="J5" s="5"/>
      <c r="K5" s="2"/>
      <c r="L5" s="2"/>
    </row>
    <row r="6" spans="1:12" ht="18.75">
      <c r="A6" s="2">
        <v>3</v>
      </c>
      <c r="B6" s="3" t="s">
        <v>49</v>
      </c>
      <c r="C6" s="6">
        <v>47401.4</v>
      </c>
      <c r="D6" s="5"/>
      <c r="E6" s="5"/>
      <c r="F6" s="7"/>
      <c r="G6" s="5"/>
      <c r="H6" s="4">
        <f t="shared" si="0"/>
        <v>47401.4</v>
      </c>
      <c r="I6" s="5"/>
      <c r="J6" s="5"/>
      <c r="K6" s="2"/>
      <c r="L6" s="2"/>
    </row>
    <row r="7" spans="1:12" ht="18.75">
      <c r="A7" s="2">
        <v>4</v>
      </c>
      <c r="B7" s="3" t="s">
        <v>50</v>
      </c>
      <c r="C7" s="6">
        <v>65214.99</v>
      </c>
      <c r="D7" s="5"/>
      <c r="E7" s="5"/>
      <c r="F7" s="5"/>
      <c r="G7" s="8"/>
      <c r="H7" s="4">
        <f t="shared" si="0"/>
        <v>65214.99</v>
      </c>
      <c r="I7" s="5"/>
      <c r="J7" s="5"/>
      <c r="K7" s="2"/>
      <c r="L7" s="2"/>
    </row>
    <row r="8" spans="1:12" ht="18.75">
      <c r="A8" s="2">
        <v>6</v>
      </c>
      <c r="B8" s="3" t="s">
        <v>52</v>
      </c>
      <c r="C8" s="4">
        <v>11006.33</v>
      </c>
      <c r="D8" s="5"/>
      <c r="E8" s="5"/>
      <c r="F8" s="5"/>
      <c r="G8" s="5"/>
      <c r="H8" s="4">
        <f t="shared" si="0"/>
        <v>11006.33</v>
      </c>
      <c r="I8" s="5"/>
      <c r="J8" s="5"/>
      <c r="K8" s="2"/>
      <c r="L8" s="2"/>
    </row>
    <row r="9" spans="1:12" ht="18.75">
      <c r="A9" s="2">
        <v>7</v>
      </c>
      <c r="B9" s="3" t="s">
        <v>54</v>
      </c>
      <c r="C9" s="4">
        <v>9344.74</v>
      </c>
      <c r="D9" s="5"/>
      <c r="E9" s="5"/>
      <c r="F9" s="5"/>
      <c r="G9" s="5"/>
      <c r="H9" s="4">
        <f t="shared" si="0"/>
        <v>9344.74</v>
      </c>
      <c r="I9" s="5"/>
      <c r="J9" s="5"/>
      <c r="K9" s="2"/>
      <c r="L9" s="2"/>
    </row>
    <row r="10" spans="1:12" ht="18.75">
      <c r="A10" s="2">
        <v>8</v>
      </c>
      <c r="B10" s="3" t="s">
        <v>61</v>
      </c>
      <c r="C10" s="4">
        <v>78371.14</v>
      </c>
      <c r="D10" s="5"/>
      <c r="E10" s="5"/>
      <c r="F10" s="5"/>
      <c r="G10" s="5"/>
      <c r="H10" s="4">
        <f t="shared" si="0"/>
        <v>78371.14</v>
      </c>
      <c r="I10" s="5"/>
      <c r="J10" s="5"/>
      <c r="K10" s="2"/>
      <c r="L10" s="2"/>
    </row>
    <row r="11" spans="1:12" ht="18.75">
      <c r="A11" s="2">
        <v>10</v>
      </c>
      <c r="B11" s="3" t="s">
        <v>86</v>
      </c>
      <c r="C11" s="4">
        <v>1081122.8</v>
      </c>
      <c r="D11" s="5"/>
      <c r="E11" s="5"/>
      <c r="F11" s="8"/>
      <c r="G11" s="9"/>
      <c r="H11" s="4">
        <f t="shared" si="0"/>
        <v>1081122.8</v>
      </c>
      <c r="I11" s="5"/>
      <c r="J11" s="5"/>
      <c r="K11" s="2"/>
      <c r="L11" s="2"/>
    </row>
    <row r="12" spans="1:12" ht="18.75">
      <c r="A12" s="2">
        <v>11</v>
      </c>
      <c r="B12" s="3" t="s">
        <v>87</v>
      </c>
      <c r="C12" s="4">
        <v>1120039.1599999999</v>
      </c>
      <c r="D12" s="5"/>
      <c r="E12" s="5"/>
      <c r="F12" s="5"/>
      <c r="G12" s="5"/>
      <c r="H12" s="4">
        <f t="shared" si="0"/>
        <v>1120039.1599999999</v>
      </c>
      <c r="I12" s="5"/>
      <c r="J12" s="5"/>
      <c r="K12" s="2"/>
      <c r="L12" s="2"/>
    </row>
    <row r="13" spans="1:12" ht="18.75">
      <c r="A13" s="2">
        <v>12</v>
      </c>
      <c r="B13" s="3" t="s">
        <v>88</v>
      </c>
      <c r="C13" s="4">
        <v>122027</v>
      </c>
      <c r="D13" s="5"/>
      <c r="E13" s="5"/>
      <c r="F13" s="5"/>
      <c r="G13" s="5"/>
      <c r="H13" s="4">
        <f t="shared" si="0"/>
        <v>122027</v>
      </c>
      <c r="I13" s="5"/>
      <c r="J13" s="5"/>
      <c r="K13" s="2"/>
      <c r="L13" s="2"/>
    </row>
    <row r="14" spans="1:12" ht="18.75">
      <c r="A14" s="2">
        <v>13</v>
      </c>
      <c r="B14" s="3" t="s">
        <v>89</v>
      </c>
      <c r="C14" s="4">
        <v>51580</v>
      </c>
      <c r="D14" s="5"/>
      <c r="E14" s="5"/>
      <c r="F14" s="5"/>
      <c r="G14" s="5"/>
      <c r="H14" s="4">
        <f t="shared" si="0"/>
        <v>51580</v>
      </c>
      <c r="I14" s="5"/>
      <c r="J14" s="5"/>
      <c r="K14" s="2"/>
      <c r="L14" s="2"/>
    </row>
    <row r="15" spans="1:12" ht="18.75">
      <c r="A15" s="2">
        <v>14</v>
      </c>
      <c r="B15" s="3" t="s">
        <v>70</v>
      </c>
      <c r="C15" s="4">
        <v>2966</v>
      </c>
      <c r="D15" s="5"/>
      <c r="E15" s="5"/>
      <c r="F15" s="5"/>
      <c r="G15" s="5"/>
      <c r="H15" s="4">
        <f t="shared" si="0"/>
        <v>2966</v>
      </c>
      <c r="I15" s="5"/>
      <c r="J15" s="5"/>
      <c r="K15" s="2"/>
      <c r="L15" s="2"/>
    </row>
    <row r="16" spans="1:12" ht="18.75">
      <c r="A16" s="2">
        <v>15</v>
      </c>
      <c r="B16" s="3" t="s">
        <v>90</v>
      </c>
      <c r="C16" s="5">
        <v>28991.3</v>
      </c>
      <c r="D16" s="5"/>
      <c r="E16" s="5"/>
      <c r="F16" s="5"/>
      <c r="G16" s="5"/>
      <c r="H16" s="4">
        <f t="shared" si="0"/>
        <v>28991.3</v>
      </c>
      <c r="I16" s="5"/>
      <c r="J16" s="5"/>
      <c r="K16" s="2"/>
      <c r="L16" s="2"/>
    </row>
    <row r="17" spans="1:12" ht="18.75">
      <c r="A17" s="2">
        <v>16</v>
      </c>
      <c r="B17" s="3" t="s">
        <v>91</v>
      </c>
      <c r="C17" s="4">
        <v>4023</v>
      </c>
      <c r="D17" s="5"/>
      <c r="E17" s="5"/>
      <c r="F17" s="5"/>
      <c r="G17" s="5"/>
      <c r="H17" s="4">
        <f t="shared" si="0"/>
        <v>4023</v>
      </c>
      <c r="I17" s="5"/>
      <c r="J17" s="5"/>
      <c r="K17" s="2"/>
      <c r="L17" s="2"/>
    </row>
    <row r="18" spans="1:12" ht="26.25">
      <c r="A18" s="10"/>
      <c r="B18" s="10" t="s">
        <v>92</v>
      </c>
      <c r="C18" s="11">
        <f t="shared" ref="C18:I18" si="1">SUM(C4:C17)</f>
        <v>2715984.96</v>
      </c>
      <c r="D18" s="12">
        <f t="shared" si="1"/>
        <v>0</v>
      </c>
      <c r="E18" s="12">
        <f t="shared" si="1"/>
        <v>0</v>
      </c>
      <c r="F18" s="12">
        <f t="shared" si="1"/>
        <v>0</v>
      </c>
      <c r="G18" s="12">
        <f t="shared" si="1"/>
        <v>0</v>
      </c>
      <c r="H18" s="11">
        <f t="shared" si="1"/>
        <v>2715984.96</v>
      </c>
      <c r="I18" s="5">
        <f t="shared" si="1"/>
        <v>0</v>
      </c>
      <c r="J18" s="5">
        <f t="shared" ref="J18" si="2">SUM(J4:J17)</f>
        <v>0</v>
      </c>
      <c r="K18" s="2"/>
      <c r="L18" s="2"/>
    </row>
    <row r="20" spans="1:12">
      <c r="A20" s="297" t="s">
        <v>93</v>
      </c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9"/>
    </row>
    <row r="21" spans="1:12">
      <c r="A21" s="300"/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2"/>
    </row>
    <row r="22" spans="1:12" ht="18.75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57</v>
      </c>
      <c r="H22" s="1" t="s">
        <v>81</v>
      </c>
      <c r="I22" s="1" t="s">
        <v>82</v>
      </c>
      <c r="J22" s="1" t="s">
        <v>83</v>
      </c>
      <c r="K22" s="1" t="s">
        <v>47</v>
      </c>
      <c r="L22" s="1" t="s">
        <v>84</v>
      </c>
    </row>
    <row r="23" spans="1:12" ht="18.75">
      <c r="A23" s="2">
        <v>1</v>
      </c>
      <c r="B23" s="3" t="s">
        <v>85</v>
      </c>
      <c r="C23" s="4">
        <v>60027.1</v>
      </c>
      <c r="D23" s="5"/>
      <c r="E23" s="5"/>
      <c r="F23" s="5"/>
      <c r="G23" s="5"/>
      <c r="H23" s="4">
        <f t="shared" ref="H23:H36" si="3">C23+D23+E23+F23-G23</f>
        <v>60027.1</v>
      </c>
      <c r="I23" s="5"/>
      <c r="J23" s="5"/>
      <c r="K23" s="2"/>
      <c r="L23" s="2"/>
    </row>
    <row r="24" spans="1:12" ht="18.75">
      <c r="A24" s="2">
        <v>2</v>
      </c>
      <c r="B24" s="3" t="s">
        <v>48</v>
      </c>
      <c r="C24" s="6">
        <v>33870</v>
      </c>
      <c r="D24" s="5"/>
      <c r="E24" s="5"/>
      <c r="F24" s="7"/>
      <c r="G24" s="5"/>
      <c r="H24" s="4">
        <f t="shared" si="3"/>
        <v>33870</v>
      </c>
      <c r="I24" s="5"/>
      <c r="J24" s="5"/>
      <c r="K24" s="2"/>
      <c r="L24" s="2"/>
    </row>
    <row r="25" spans="1:12" ht="18.75">
      <c r="A25" s="2">
        <v>3</v>
      </c>
      <c r="B25" s="3" t="s">
        <v>49</v>
      </c>
      <c r="C25" s="6">
        <v>47401.4</v>
      </c>
      <c r="D25" s="5"/>
      <c r="E25" s="5"/>
      <c r="F25" s="7"/>
      <c r="G25" s="5"/>
      <c r="H25" s="4">
        <f t="shared" si="3"/>
        <v>47401.4</v>
      </c>
      <c r="I25" s="5"/>
      <c r="J25" s="5"/>
      <c r="K25" s="2"/>
      <c r="L25" s="2"/>
    </row>
    <row r="26" spans="1:12" ht="18.75">
      <c r="A26" s="2">
        <v>4</v>
      </c>
      <c r="B26" s="3" t="s">
        <v>50</v>
      </c>
      <c r="C26" s="6">
        <v>61841.24</v>
      </c>
      <c r="D26" s="5"/>
      <c r="E26" s="5"/>
      <c r="F26" s="5"/>
      <c r="G26" s="8"/>
      <c r="H26" s="4">
        <f t="shared" si="3"/>
        <v>61841.24</v>
      </c>
      <c r="I26" s="5"/>
      <c r="J26" s="5"/>
      <c r="K26" s="2"/>
      <c r="L26" s="2"/>
    </row>
    <row r="27" spans="1:12" ht="18.75">
      <c r="A27" s="2">
        <v>6</v>
      </c>
      <c r="B27" s="3" t="s">
        <v>51</v>
      </c>
      <c r="C27" s="4">
        <v>56774</v>
      </c>
      <c r="D27" s="5"/>
      <c r="E27" s="5"/>
      <c r="F27" s="5"/>
      <c r="G27" s="5"/>
      <c r="H27" s="4">
        <f t="shared" si="3"/>
        <v>56774</v>
      </c>
      <c r="I27" s="5"/>
      <c r="J27" s="5"/>
      <c r="K27" s="2"/>
      <c r="L27" s="2"/>
    </row>
    <row r="28" spans="1:12" ht="18.75">
      <c r="A28" s="2">
        <v>7</v>
      </c>
      <c r="B28" s="3" t="s">
        <v>52</v>
      </c>
      <c r="C28" s="4">
        <v>11006</v>
      </c>
      <c r="D28" s="5"/>
      <c r="E28" s="5"/>
      <c r="F28" s="5"/>
      <c r="G28" s="5"/>
      <c r="H28" s="4">
        <f t="shared" si="3"/>
        <v>11006</v>
      </c>
      <c r="I28" s="5"/>
      <c r="J28" s="5"/>
      <c r="K28" s="2"/>
      <c r="L28" s="2"/>
    </row>
    <row r="29" spans="1:12" ht="18.75">
      <c r="A29" s="2">
        <v>8</v>
      </c>
      <c r="B29" s="3" t="s">
        <v>54</v>
      </c>
      <c r="C29" s="13">
        <v>8633.94</v>
      </c>
      <c r="D29" s="5"/>
      <c r="E29" s="5"/>
      <c r="F29" s="5"/>
      <c r="G29" s="5"/>
      <c r="H29" s="4">
        <f t="shared" si="3"/>
        <v>8633.94</v>
      </c>
      <c r="I29" s="5"/>
      <c r="J29" s="5"/>
      <c r="K29" s="2"/>
      <c r="L29" s="2"/>
    </row>
    <row r="30" spans="1:12" ht="18.75">
      <c r="A30" s="2">
        <v>10</v>
      </c>
      <c r="B30" s="3" t="s">
        <v>55</v>
      </c>
      <c r="C30" s="8">
        <v>170415</v>
      </c>
      <c r="D30" s="5"/>
      <c r="E30" s="5"/>
      <c r="F30" s="8"/>
      <c r="G30" s="9"/>
      <c r="H30" s="4">
        <f t="shared" si="3"/>
        <v>170415</v>
      </c>
      <c r="I30" s="5"/>
      <c r="J30" s="5"/>
      <c r="K30" s="2"/>
      <c r="L30" s="2"/>
    </row>
    <row r="31" spans="1:12" ht="18.75">
      <c r="A31" s="2">
        <v>11</v>
      </c>
      <c r="B31" s="3" t="s">
        <v>61</v>
      </c>
      <c r="C31" s="8">
        <v>48748.39</v>
      </c>
      <c r="D31" s="5"/>
      <c r="E31" s="5"/>
      <c r="F31" s="5"/>
      <c r="G31" s="5"/>
      <c r="H31" s="4">
        <f t="shared" si="3"/>
        <v>48748.39</v>
      </c>
      <c r="I31" s="5"/>
      <c r="J31" s="5"/>
      <c r="K31" s="2"/>
      <c r="L31" s="2"/>
    </row>
    <row r="32" spans="1:12" ht="18.75">
      <c r="A32" s="2">
        <v>12</v>
      </c>
      <c r="B32" s="3" t="s">
        <v>94</v>
      </c>
      <c r="C32" s="4">
        <v>1075890.3999999999</v>
      </c>
      <c r="D32" s="5"/>
      <c r="E32" s="5"/>
      <c r="F32" s="5"/>
      <c r="G32" s="5"/>
      <c r="H32" s="4">
        <f t="shared" si="3"/>
        <v>1075890.3999999999</v>
      </c>
      <c r="I32" s="5"/>
      <c r="J32" s="5"/>
      <c r="K32" s="2"/>
      <c r="L32" s="2"/>
    </row>
    <row r="33" spans="1:14" ht="18.75">
      <c r="A33" s="2">
        <v>13</v>
      </c>
      <c r="B33" s="3" t="s">
        <v>95</v>
      </c>
      <c r="C33" s="4">
        <v>1106464.6000000001</v>
      </c>
      <c r="D33" s="5"/>
      <c r="E33" s="5"/>
      <c r="F33" s="5"/>
      <c r="G33" s="5"/>
      <c r="H33" s="4">
        <f t="shared" si="3"/>
        <v>1106464.6000000001</v>
      </c>
      <c r="I33" s="5"/>
      <c r="J33" s="5"/>
      <c r="K33" s="2"/>
      <c r="L33" s="2"/>
    </row>
    <row r="34" spans="1:14" ht="18.75">
      <c r="A34" s="2">
        <v>14</v>
      </c>
      <c r="B34" s="3" t="s">
        <v>70</v>
      </c>
      <c r="C34" s="4">
        <v>2966</v>
      </c>
      <c r="D34" s="5"/>
      <c r="E34" s="5"/>
      <c r="F34" s="5"/>
      <c r="G34" s="5"/>
      <c r="H34" s="4">
        <f t="shared" si="3"/>
        <v>2966</v>
      </c>
      <c r="I34" s="5"/>
      <c r="J34" s="5"/>
      <c r="K34" s="2"/>
      <c r="L34" s="2"/>
    </row>
    <row r="35" spans="1:14" ht="18.75">
      <c r="A35" s="2">
        <v>18</v>
      </c>
      <c r="B35" s="3" t="s">
        <v>90</v>
      </c>
      <c r="C35" s="5">
        <v>28991.3</v>
      </c>
      <c r="D35" s="5"/>
      <c r="E35" s="5"/>
      <c r="F35" s="5"/>
      <c r="G35" s="5"/>
      <c r="H35" s="4">
        <f t="shared" si="3"/>
        <v>28991.3</v>
      </c>
      <c r="I35" s="5"/>
      <c r="J35" s="5"/>
      <c r="K35" s="2"/>
      <c r="L35" s="2"/>
    </row>
    <row r="36" spans="1:14" ht="18.75">
      <c r="A36" s="2">
        <v>19</v>
      </c>
      <c r="B36" s="3" t="s">
        <v>91</v>
      </c>
      <c r="C36" s="4">
        <v>4023</v>
      </c>
      <c r="D36" s="5"/>
      <c r="E36" s="5"/>
      <c r="F36" s="5"/>
      <c r="G36" s="5"/>
      <c r="H36" s="4">
        <f t="shared" si="3"/>
        <v>4023</v>
      </c>
      <c r="I36" s="5"/>
      <c r="J36" s="5"/>
      <c r="K36" s="2"/>
      <c r="L36" s="2"/>
    </row>
    <row r="37" spans="1:14" ht="26.25">
      <c r="A37" s="10"/>
      <c r="B37" s="10" t="s">
        <v>92</v>
      </c>
      <c r="C37" s="11">
        <f t="shared" ref="C37:J37" si="4">SUM(C23:C36)</f>
        <v>2717052.37</v>
      </c>
      <c r="D37" s="12">
        <f t="shared" si="4"/>
        <v>0</v>
      </c>
      <c r="E37" s="12">
        <f t="shared" si="4"/>
        <v>0</v>
      </c>
      <c r="F37" s="12">
        <f t="shared" si="4"/>
        <v>0</v>
      </c>
      <c r="G37" s="12">
        <f t="shared" si="4"/>
        <v>0</v>
      </c>
      <c r="H37" s="11">
        <f t="shared" si="4"/>
        <v>2717052.37</v>
      </c>
      <c r="I37" s="5">
        <f t="shared" si="4"/>
        <v>0</v>
      </c>
      <c r="J37" s="5">
        <f t="shared" si="4"/>
        <v>0</v>
      </c>
      <c r="K37" s="2"/>
      <c r="L37" s="2"/>
    </row>
    <row r="38" spans="1:14">
      <c r="C38" s="14">
        <f>C37-C18</f>
        <v>1067.410000000149</v>
      </c>
      <c r="H38" s="14">
        <f>H37-H18</f>
        <v>1067.410000000149</v>
      </c>
    </row>
    <row r="39" spans="1:14">
      <c r="A39" s="297" t="s">
        <v>96</v>
      </c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9"/>
    </row>
    <row r="40" spans="1:14">
      <c r="A40" s="300"/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2"/>
    </row>
    <row r="41" spans="1:14" ht="18.75">
      <c r="A41" s="1" t="s">
        <v>75</v>
      </c>
      <c r="B41" s="1" t="s">
        <v>76</v>
      </c>
      <c r="C41" s="1" t="s">
        <v>77</v>
      </c>
      <c r="D41" s="1" t="s">
        <v>78</v>
      </c>
      <c r="E41" s="1" t="s">
        <v>79</v>
      </c>
      <c r="F41" s="1" t="s">
        <v>80</v>
      </c>
      <c r="G41" s="1" t="s">
        <v>57</v>
      </c>
      <c r="H41" s="1" t="s">
        <v>81</v>
      </c>
      <c r="I41" s="1" t="s">
        <v>82</v>
      </c>
      <c r="J41" s="1" t="s">
        <v>83</v>
      </c>
      <c r="K41" s="1" t="s">
        <v>47</v>
      </c>
      <c r="L41" s="1" t="s">
        <v>84</v>
      </c>
    </row>
    <row r="42" spans="1:14" ht="18.75">
      <c r="A42" s="2">
        <v>1</v>
      </c>
      <c r="B42" s="3" t="s">
        <v>85</v>
      </c>
      <c r="C42" s="4">
        <v>60027.1</v>
      </c>
      <c r="D42" s="5"/>
      <c r="E42" s="5"/>
      <c r="F42" s="5"/>
      <c r="G42" s="5"/>
      <c r="H42" s="4">
        <f t="shared" ref="H42:H55" si="5">C42+D42+E42+F42-G42</f>
        <v>60027.1</v>
      </c>
      <c r="I42" s="5"/>
      <c r="J42" s="5"/>
      <c r="K42" s="2"/>
      <c r="L42" s="2"/>
    </row>
    <row r="43" spans="1:14" ht="18.75">
      <c r="A43" s="2">
        <v>2</v>
      </c>
      <c r="B43" s="3" t="s">
        <v>48</v>
      </c>
      <c r="C43" s="6">
        <v>33870</v>
      </c>
      <c r="D43" s="5"/>
      <c r="E43" s="5"/>
      <c r="F43" s="7"/>
      <c r="G43" s="5"/>
      <c r="H43" s="4">
        <f t="shared" si="5"/>
        <v>33870</v>
      </c>
      <c r="I43" s="5"/>
      <c r="J43" s="5"/>
      <c r="K43" s="2"/>
      <c r="L43" s="2"/>
    </row>
    <row r="44" spans="1:14" ht="18.75">
      <c r="A44" s="2">
        <v>3</v>
      </c>
      <c r="B44" s="3" t="s">
        <v>49</v>
      </c>
      <c r="C44" s="6">
        <v>47401.4</v>
      </c>
      <c r="D44" s="5"/>
      <c r="E44" s="5"/>
      <c r="F44" s="7"/>
      <c r="G44" s="5"/>
      <c r="H44" s="4">
        <f t="shared" si="5"/>
        <v>47401.4</v>
      </c>
      <c r="I44" s="5"/>
      <c r="J44" s="5"/>
      <c r="K44" s="2"/>
      <c r="L44" s="2"/>
    </row>
    <row r="45" spans="1:14" ht="18.75">
      <c r="A45" s="2">
        <v>4</v>
      </c>
      <c r="B45" s="3" t="s">
        <v>50</v>
      </c>
      <c r="C45" s="6">
        <v>52714.99</v>
      </c>
      <c r="D45" s="5"/>
      <c r="E45" s="5"/>
      <c r="F45" s="5"/>
      <c r="G45" s="8"/>
      <c r="H45" s="4">
        <f t="shared" si="5"/>
        <v>52714.99</v>
      </c>
      <c r="I45" s="5"/>
      <c r="J45" s="5"/>
      <c r="K45" s="2"/>
      <c r="L45" s="2"/>
    </row>
    <row r="46" spans="1:14" ht="18.75">
      <c r="A46" s="2">
        <v>6</v>
      </c>
      <c r="B46" s="3" t="s">
        <v>51</v>
      </c>
      <c r="C46" s="4">
        <v>101386.8</v>
      </c>
      <c r="D46" s="5"/>
      <c r="E46" s="5">
        <f>1470+700</f>
        <v>2170</v>
      </c>
      <c r="F46" s="5"/>
      <c r="G46" s="5"/>
      <c r="H46" s="4">
        <f t="shared" si="5"/>
        <v>103556.8</v>
      </c>
      <c r="I46" s="5"/>
      <c r="J46" s="5"/>
      <c r="K46" s="2"/>
      <c r="L46" s="2"/>
      <c r="N46" s="14"/>
    </row>
    <row r="47" spans="1:14" ht="18.75">
      <c r="A47" s="2">
        <v>7</v>
      </c>
      <c r="B47" s="3" t="s">
        <v>52</v>
      </c>
      <c r="C47" s="4">
        <v>11006</v>
      </c>
      <c r="D47" s="5"/>
      <c r="E47" s="5"/>
      <c r="F47" s="5"/>
      <c r="G47" s="5"/>
      <c r="H47" s="4">
        <f t="shared" si="5"/>
        <v>11006</v>
      </c>
      <c r="I47" s="5"/>
      <c r="J47" s="5"/>
      <c r="K47" s="2"/>
      <c r="L47" s="2"/>
    </row>
    <row r="48" spans="1:14" ht="18.75">
      <c r="A48" s="2">
        <v>8</v>
      </c>
      <c r="B48" s="3" t="s">
        <v>54</v>
      </c>
      <c r="C48" s="13">
        <v>9344.74</v>
      </c>
      <c r="D48" s="5"/>
      <c r="E48" s="5"/>
      <c r="F48" s="5"/>
      <c r="G48" s="5"/>
      <c r="H48" s="4">
        <f t="shared" si="5"/>
        <v>9344.74</v>
      </c>
      <c r="I48" s="5"/>
      <c r="J48" s="5"/>
      <c r="K48" s="2"/>
      <c r="L48" s="2"/>
    </row>
    <row r="49" spans="1:12" ht="18.75">
      <c r="A49" s="2">
        <v>10</v>
      </c>
      <c r="B49" s="3" t="s">
        <v>55</v>
      </c>
      <c r="C49" s="8">
        <v>211671</v>
      </c>
      <c r="D49" s="5"/>
      <c r="E49" s="5"/>
      <c r="F49" s="8"/>
      <c r="G49" s="9"/>
      <c r="H49" s="4">
        <f t="shared" si="5"/>
        <v>211671</v>
      </c>
      <c r="I49" s="5"/>
      <c r="J49" s="5"/>
      <c r="K49" s="2"/>
      <c r="L49" s="2"/>
    </row>
    <row r="50" spans="1:12" ht="18.75">
      <c r="A50" s="2">
        <v>11</v>
      </c>
      <c r="B50" s="3" t="s">
        <v>61</v>
      </c>
      <c r="C50" s="8">
        <v>42177.34</v>
      </c>
      <c r="D50" s="5"/>
      <c r="E50" s="5"/>
      <c r="F50" s="5"/>
      <c r="G50" s="5"/>
      <c r="H50" s="4">
        <f t="shared" si="5"/>
        <v>42177.34</v>
      </c>
      <c r="I50" s="5"/>
      <c r="J50" s="5"/>
      <c r="K50" s="2"/>
      <c r="L50" s="2"/>
    </row>
    <row r="51" spans="1:12" ht="18.75">
      <c r="A51" s="2">
        <v>12</v>
      </c>
      <c r="B51" s="3" t="s">
        <v>94</v>
      </c>
      <c r="C51" s="4">
        <v>1033943.82</v>
      </c>
      <c r="D51" s="5"/>
      <c r="E51" s="5"/>
      <c r="F51" s="5"/>
      <c r="G51" s="5"/>
      <c r="H51" s="4">
        <f t="shared" si="5"/>
        <v>1033943.82</v>
      </c>
      <c r="I51" s="5"/>
      <c r="J51" s="5"/>
      <c r="K51" s="2"/>
      <c r="L51" s="2"/>
    </row>
    <row r="52" spans="1:12" ht="18.75">
      <c r="A52" s="2">
        <v>13</v>
      </c>
      <c r="B52" s="3" t="s">
        <v>95</v>
      </c>
      <c r="C52" s="4">
        <v>1106464.6000000001</v>
      </c>
      <c r="D52" s="5"/>
      <c r="E52" s="5"/>
      <c r="F52" s="5"/>
      <c r="G52" s="5"/>
      <c r="H52" s="4">
        <f t="shared" si="5"/>
        <v>1106464.6000000001</v>
      </c>
      <c r="I52" s="5"/>
      <c r="J52" s="5"/>
      <c r="K52" s="2"/>
      <c r="L52" s="2"/>
    </row>
    <row r="53" spans="1:12" ht="18.75">
      <c r="A53" s="2">
        <v>14</v>
      </c>
      <c r="B53" s="3" t="s">
        <v>70</v>
      </c>
      <c r="C53" s="4">
        <v>2966</v>
      </c>
      <c r="D53" s="5"/>
      <c r="E53" s="5"/>
      <c r="F53" s="5"/>
      <c r="G53" s="5"/>
      <c r="H53" s="4">
        <f t="shared" si="5"/>
        <v>2966</v>
      </c>
      <c r="I53" s="5"/>
      <c r="J53" s="5"/>
      <c r="K53" s="2"/>
      <c r="L53" s="2"/>
    </row>
    <row r="54" spans="1:12" ht="18.75">
      <c r="A54" s="2">
        <v>18</v>
      </c>
      <c r="B54" s="3" t="s">
        <v>90</v>
      </c>
      <c r="C54" s="5">
        <v>28991.3</v>
      </c>
      <c r="D54" s="5"/>
      <c r="E54" s="5"/>
      <c r="F54" s="5"/>
      <c r="G54" s="5"/>
      <c r="H54" s="4">
        <f t="shared" si="5"/>
        <v>28991.3</v>
      </c>
      <c r="I54" s="5"/>
      <c r="J54" s="5"/>
      <c r="K54" s="2"/>
      <c r="L54" s="2"/>
    </row>
    <row r="55" spans="1:12" ht="18.75">
      <c r="A55" s="2">
        <v>19</v>
      </c>
      <c r="B55" s="3" t="s">
        <v>91</v>
      </c>
      <c r="C55" s="4">
        <v>4023</v>
      </c>
      <c r="D55" s="5"/>
      <c r="E55" s="5"/>
      <c r="F55" s="5"/>
      <c r="G55" s="5"/>
      <c r="H55" s="4">
        <f t="shared" si="5"/>
        <v>4023</v>
      </c>
      <c r="I55" s="5"/>
      <c r="J55" s="5"/>
      <c r="K55" s="2"/>
      <c r="L55" s="2"/>
    </row>
    <row r="56" spans="1:12" ht="26.25">
      <c r="A56" s="10"/>
      <c r="B56" s="10" t="s">
        <v>92</v>
      </c>
      <c r="C56" s="11">
        <f t="shared" ref="C56:J56" si="6">SUM(C42:C55)</f>
        <v>2745988.09</v>
      </c>
      <c r="D56" s="12">
        <f t="shared" si="6"/>
        <v>0</v>
      </c>
      <c r="E56" s="12">
        <f t="shared" si="6"/>
        <v>2170</v>
      </c>
      <c r="F56" s="12">
        <f t="shared" si="6"/>
        <v>0</v>
      </c>
      <c r="G56" s="12">
        <f t="shared" si="6"/>
        <v>0</v>
      </c>
      <c r="H56" s="11">
        <f t="shared" si="6"/>
        <v>2748158.09</v>
      </c>
      <c r="I56" s="5">
        <f t="shared" si="6"/>
        <v>0</v>
      </c>
      <c r="J56" s="5">
        <f t="shared" si="6"/>
        <v>0</v>
      </c>
      <c r="K56" s="2"/>
      <c r="L56" s="2"/>
    </row>
    <row r="58" spans="1:12">
      <c r="A58" s="297" t="s">
        <v>97</v>
      </c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9"/>
    </row>
    <row r="59" spans="1:12">
      <c r="A59" s="300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2"/>
    </row>
    <row r="60" spans="1:12" ht="18.75">
      <c r="A60" s="1" t="s">
        <v>75</v>
      </c>
      <c r="B60" s="1" t="s">
        <v>76</v>
      </c>
      <c r="C60" s="1" t="s">
        <v>77</v>
      </c>
      <c r="D60" s="1" t="s">
        <v>98</v>
      </c>
      <c r="E60" s="1" t="s">
        <v>79</v>
      </c>
      <c r="F60" s="1" t="s">
        <v>80</v>
      </c>
      <c r="G60" s="1" t="s">
        <v>57</v>
      </c>
      <c r="H60" s="1" t="s">
        <v>81</v>
      </c>
      <c r="I60" s="1" t="s">
        <v>82</v>
      </c>
      <c r="J60" s="1" t="s">
        <v>99</v>
      </c>
      <c r="K60" s="1" t="s">
        <v>47</v>
      </c>
      <c r="L60" s="1" t="s">
        <v>84</v>
      </c>
    </row>
    <row r="61" spans="1:12" ht="18.75">
      <c r="A61" s="2">
        <v>1</v>
      </c>
      <c r="B61" s="3" t="s">
        <v>13</v>
      </c>
      <c r="C61" s="4">
        <v>57345.25</v>
      </c>
      <c r="D61" s="5"/>
      <c r="E61" s="5"/>
      <c r="F61" s="5"/>
      <c r="G61" s="5"/>
      <c r="H61" s="4">
        <f t="shared" ref="H61:H76" si="7">C61+D61+E61+F61-G61</f>
        <v>57345.25</v>
      </c>
      <c r="I61" s="5"/>
      <c r="J61" s="5"/>
      <c r="K61" s="2"/>
      <c r="L61" s="2"/>
    </row>
    <row r="62" spans="1:12" ht="18.75">
      <c r="A62" s="2">
        <v>2</v>
      </c>
      <c r="B62" s="3" t="s">
        <v>100</v>
      </c>
      <c r="C62" s="4">
        <v>6519</v>
      </c>
      <c r="D62" s="5"/>
      <c r="E62" s="5"/>
      <c r="F62" s="5"/>
      <c r="G62" s="5"/>
      <c r="H62" s="4">
        <f t="shared" si="7"/>
        <v>6519</v>
      </c>
      <c r="I62" s="5"/>
      <c r="J62" s="5"/>
      <c r="K62" s="2"/>
      <c r="L62" s="2"/>
    </row>
    <row r="63" spans="1:12" ht="18.75">
      <c r="A63" s="2">
        <v>3</v>
      </c>
      <c r="B63" s="3" t="s">
        <v>101</v>
      </c>
      <c r="C63" s="4">
        <v>9198</v>
      </c>
      <c r="D63" s="5"/>
      <c r="E63" s="5"/>
      <c r="F63" s="5"/>
      <c r="G63" s="5"/>
      <c r="H63" s="4">
        <f t="shared" si="7"/>
        <v>9198</v>
      </c>
      <c r="I63" s="5"/>
      <c r="J63" s="5"/>
      <c r="K63" s="2"/>
      <c r="L63" s="2"/>
    </row>
    <row r="64" spans="1:12" ht="18.75">
      <c r="A64" s="2">
        <v>4</v>
      </c>
      <c r="B64" s="3" t="s">
        <v>48</v>
      </c>
      <c r="C64" s="6">
        <v>38689</v>
      </c>
      <c r="D64" s="5"/>
      <c r="E64" s="5"/>
      <c r="F64" s="7"/>
      <c r="G64" s="5"/>
      <c r="H64" s="4">
        <f t="shared" si="7"/>
        <v>38689</v>
      </c>
      <c r="I64" s="5"/>
      <c r="J64" s="5"/>
      <c r="K64" s="2"/>
      <c r="L64" s="2"/>
    </row>
    <row r="65" spans="1:16" ht="18.75">
      <c r="A65" s="2">
        <v>5</v>
      </c>
      <c r="B65" s="3" t="s">
        <v>49</v>
      </c>
      <c r="C65" s="6">
        <v>49664.4</v>
      </c>
      <c r="D65" s="5"/>
      <c r="E65" s="5"/>
      <c r="F65" s="7"/>
      <c r="G65" s="5"/>
      <c r="H65" s="4">
        <f t="shared" si="7"/>
        <v>49664.4</v>
      </c>
      <c r="I65" s="5"/>
      <c r="J65" s="5"/>
      <c r="K65" s="2"/>
      <c r="L65" s="2"/>
    </row>
    <row r="66" spans="1:16" ht="18.75">
      <c r="A66" s="2">
        <v>6</v>
      </c>
      <c r="B66" s="3" t="s">
        <v>50</v>
      </c>
      <c r="C66" s="6">
        <v>49979.99</v>
      </c>
      <c r="D66" s="5"/>
      <c r="E66" s="5"/>
      <c r="F66" s="5"/>
      <c r="G66" s="8"/>
      <c r="H66" s="4">
        <f t="shared" si="7"/>
        <v>49979.99</v>
      </c>
      <c r="I66" s="5"/>
      <c r="J66" s="5"/>
      <c r="K66" s="2"/>
      <c r="L66" s="2"/>
    </row>
    <row r="67" spans="1:16" ht="18.75">
      <c r="A67" s="2">
        <v>7</v>
      </c>
      <c r="B67" s="3" t="s">
        <v>51</v>
      </c>
      <c r="C67" s="4">
        <v>278944.59999999998</v>
      </c>
      <c r="D67" s="5"/>
      <c r="E67" s="5"/>
      <c r="F67" s="5"/>
      <c r="G67" s="5"/>
      <c r="H67" s="4">
        <f t="shared" si="7"/>
        <v>278944.59999999998</v>
      </c>
      <c r="I67" s="5"/>
      <c r="J67" s="5"/>
      <c r="K67" s="2"/>
      <c r="L67" s="2"/>
    </row>
    <row r="68" spans="1:16" ht="18.75">
      <c r="A68" s="2">
        <v>8</v>
      </c>
      <c r="B68" s="3" t="s">
        <v>52</v>
      </c>
      <c r="C68" s="4">
        <v>14065.92</v>
      </c>
      <c r="D68" s="5"/>
      <c r="E68" s="5"/>
      <c r="F68" s="5"/>
      <c r="G68" s="5"/>
      <c r="H68" s="4">
        <f t="shared" si="7"/>
        <v>14065.92</v>
      </c>
      <c r="I68" s="5"/>
      <c r="J68" s="5"/>
      <c r="K68" s="2"/>
      <c r="L68" s="2"/>
    </row>
    <row r="69" spans="1:16" ht="18.75">
      <c r="A69" s="2">
        <v>9</v>
      </c>
      <c r="B69" s="3" t="s">
        <v>54</v>
      </c>
      <c r="C69" s="13">
        <v>9344.74</v>
      </c>
      <c r="D69" s="5"/>
      <c r="E69" s="5"/>
      <c r="F69" s="5"/>
      <c r="G69" s="5"/>
      <c r="H69" s="4">
        <f t="shared" si="7"/>
        <v>9344.74</v>
      </c>
      <c r="I69" s="5"/>
      <c r="J69" s="5"/>
      <c r="K69" s="2"/>
      <c r="L69" s="2"/>
    </row>
    <row r="70" spans="1:16" ht="18.75">
      <c r="A70" s="2">
        <v>10</v>
      </c>
      <c r="B70" s="3" t="s">
        <v>55</v>
      </c>
      <c r="C70" s="8">
        <v>212793</v>
      </c>
      <c r="D70" s="5"/>
      <c r="E70" s="5"/>
      <c r="F70" s="8"/>
      <c r="G70" s="9"/>
      <c r="H70" s="4">
        <f t="shared" si="7"/>
        <v>212793</v>
      </c>
      <c r="I70" s="5"/>
      <c r="J70" s="5"/>
      <c r="K70" s="2"/>
      <c r="L70" s="2"/>
    </row>
    <row r="71" spans="1:16" ht="18.75">
      <c r="A71" s="2">
        <v>11</v>
      </c>
      <c r="B71" s="3" t="s">
        <v>61</v>
      </c>
      <c r="C71" s="8">
        <v>30289.89</v>
      </c>
      <c r="D71" s="5"/>
      <c r="E71" s="5"/>
      <c r="F71" s="5"/>
      <c r="G71" s="5"/>
      <c r="H71" s="4">
        <f t="shared" si="7"/>
        <v>30289.89</v>
      </c>
      <c r="I71" s="5">
        <f>H77-H56</f>
        <v>-3607.9199999999255</v>
      </c>
      <c r="J71" s="5"/>
      <c r="K71" s="2"/>
      <c r="L71" s="2"/>
      <c r="P71" t="s">
        <v>21</v>
      </c>
    </row>
    <row r="72" spans="1:16" ht="18.75">
      <c r="A72" s="2">
        <v>12</v>
      </c>
      <c r="B72" s="3" t="s">
        <v>94</v>
      </c>
      <c r="C72" s="4">
        <v>988966.92</v>
      </c>
      <c r="D72" s="5"/>
      <c r="E72" s="5"/>
      <c r="F72" s="5"/>
      <c r="G72" s="5"/>
      <c r="H72" s="4">
        <f t="shared" si="7"/>
        <v>988966.92</v>
      </c>
      <c r="I72" s="5"/>
      <c r="J72" s="5"/>
      <c r="K72" s="2"/>
      <c r="L72" s="2"/>
    </row>
    <row r="73" spans="1:16" ht="18.75">
      <c r="A73" s="2">
        <v>13</v>
      </c>
      <c r="B73" s="3" t="s">
        <v>95</v>
      </c>
      <c r="C73" s="4">
        <v>962769.16</v>
      </c>
      <c r="D73" s="5"/>
      <c r="E73" s="5"/>
      <c r="F73" s="5"/>
      <c r="G73" s="5"/>
      <c r="H73" s="4">
        <f t="shared" si="7"/>
        <v>962769.16</v>
      </c>
      <c r="I73" s="5"/>
      <c r="J73" s="5"/>
      <c r="K73" s="2"/>
      <c r="L73" s="2"/>
    </row>
    <row r="74" spans="1:16" ht="18.75">
      <c r="A74" s="2">
        <v>14</v>
      </c>
      <c r="B74" s="3" t="s">
        <v>70</v>
      </c>
      <c r="C74" s="4">
        <v>2966</v>
      </c>
      <c r="D74" s="5"/>
      <c r="E74" s="5"/>
      <c r="F74" s="5"/>
      <c r="G74" s="5"/>
      <c r="H74" s="4">
        <f t="shared" si="7"/>
        <v>2966</v>
      </c>
      <c r="I74" s="5"/>
      <c r="J74" s="5"/>
      <c r="K74" s="2"/>
      <c r="L74" s="2"/>
    </row>
    <row r="75" spans="1:16" ht="18.75">
      <c r="A75" s="2">
        <v>15</v>
      </c>
      <c r="B75" s="3" t="s">
        <v>90</v>
      </c>
      <c r="C75" s="5">
        <v>28991.3</v>
      </c>
      <c r="D75" s="5"/>
      <c r="E75" s="5"/>
      <c r="F75" s="5"/>
      <c r="G75" s="5"/>
      <c r="H75" s="4">
        <f t="shared" si="7"/>
        <v>28991.3</v>
      </c>
      <c r="I75" s="5"/>
      <c r="J75" s="5"/>
      <c r="K75" s="2"/>
      <c r="L75" s="2"/>
    </row>
    <row r="76" spans="1:16" ht="18.75">
      <c r="A76" s="2">
        <v>16</v>
      </c>
      <c r="B76" s="3" t="s">
        <v>91</v>
      </c>
      <c r="C76" s="4">
        <v>4023</v>
      </c>
      <c r="D76" s="5"/>
      <c r="E76" s="5"/>
      <c r="F76" s="5"/>
      <c r="G76" s="5"/>
      <c r="H76" s="4">
        <f t="shared" si="7"/>
        <v>4023</v>
      </c>
      <c r="I76" s="5"/>
      <c r="J76" s="5"/>
      <c r="K76" s="2"/>
      <c r="L76" s="2"/>
    </row>
    <row r="77" spans="1:16" ht="26.25">
      <c r="A77" s="10"/>
      <c r="B77" s="10" t="s">
        <v>92</v>
      </c>
      <c r="C77" s="11">
        <f t="shared" ref="C77:J77" si="8">SUM(C61:C76)</f>
        <v>2744550.17</v>
      </c>
      <c r="D77" s="12">
        <f t="shared" si="8"/>
        <v>0</v>
      </c>
      <c r="E77" s="12">
        <f t="shared" si="8"/>
        <v>0</v>
      </c>
      <c r="F77" s="12">
        <f t="shared" si="8"/>
        <v>0</v>
      </c>
      <c r="G77" s="12">
        <f t="shared" si="8"/>
        <v>0</v>
      </c>
      <c r="H77" s="11">
        <f t="shared" si="8"/>
        <v>2744550.17</v>
      </c>
      <c r="I77" s="5">
        <f t="shared" si="8"/>
        <v>-3607.9199999999255</v>
      </c>
      <c r="J77" s="5">
        <f t="shared" si="8"/>
        <v>0</v>
      </c>
      <c r="K77" s="2"/>
      <c r="L77" s="2"/>
    </row>
    <row r="79" spans="1:16">
      <c r="A79" s="297" t="s">
        <v>102</v>
      </c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9"/>
    </row>
    <row r="80" spans="1:16">
      <c r="A80" s="300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2"/>
    </row>
    <row r="81" spans="1:12" ht="18.75">
      <c r="A81" s="1" t="s">
        <v>75</v>
      </c>
      <c r="B81" s="1" t="s">
        <v>76</v>
      </c>
      <c r="C81" s="1" t="s">
        <v>77</v>
      </c>
      <c r="D81" s="1" t="s">
        <v>98</v>
      </c>
      <c r="E81" s="1" t="s">
        <v>79</v>
      </c>
      <c r="F81" s="1" t="s">
        <v>80</v>
      </c>
      <c r="G81" s="1" t="s">
        <v>57</v>
      </c>
      <c r="H81" s="1" t="s">
        <v>81</v>
      </c>
      <c r="I81" s="1" t="s">
        <v>82</v>
      </c>
      <c r="J81" s="1" t="s">
        <v>99</v>
      </c>
      <c r="K81" s="1" t="s">
        <v>47</v>
      </c>
      <c r="L81" s="1" t="s">
        <v>84</v>
      </c>
    </row>
    <row r="82" spans="1:12" ht="18.75">
      <c r="A82" s="2">
        <v>1</v>
      </c>
      <c r="B82" s="3" t="s">
        <v>13</v>
      </c>
      <c r="C82" s="4">
        <v>57345.25</v>
      </c>
      <c r="D82" s="5"/>
      <c r="E82" s="5"/>
      <c r="F82" s="5"/>
      <c r="G82" s="5"/>
      <c r="H82" s="4">
        <f t="shared" ref="H82:H97" si="9">C82+D82+E82+F82-G82</f>
        <v>57345.25</v>
      </c>
      <c r="I82" s="5"/>
      <c r="J82" s="5"/>
      <c r="K82" s="2"/>
      <c r="L82" s="2"/>
    </row>
    <row r="83" spans="1:12" ht="18.75">
      <c r="A83" s="2">
        <v>2</v>
      </c>
      <c r="B83" s="3" t="s">
        <v>100</v>
      </c>
      <c r="C83" s="4">
        <v>6519</v>
      </c>
      <c r="D83" s="5"/>
      <c r="E83" s="5"/>
      <c r="F83" s="5"/>
      <c r="G83" s="5"/>
      <c r="H83" s="4">
        <f t="shared" si="9"/>
        <v>6519</v>
      </c>
      <c r="I83" s="5"/>
      <c r="J83" s="5"/>
      <c r="K83" s="2"/>
      <c r="L83" s="2"/>
    </row>
    <row r="84" spans="1:12" ht="18.75">
      <c r="A84" s="2">
        <v>3</v>
      </c>
      <c r="B84" s="3" t="s">
        <v>101</v>
      </c>
      <c r="C84" s="4">
        <v>9198</v>
      </c>
      <c r="D84" s="5"/>
      <c r="E84" s="5"/>
      <c r="F84" s="5"/>
      <c r="G84" s="5"/>
      <c r="H84" s="4">
        <f t="shared" si="9"/>
        <v>9198</v>
      </c>
      <c r="I84" s="5"/>
      <c r="J84" s="5"/>
      <c r="K84" s="2"/>
      <c r="L84" s="2"/>
    </row>
    <row r="85" spans="1:12" ht="18.75">
      <c r="A85" s="2">
        <v>4</v>
      </c>
      <c r="B85" s="3" t="s">
        <v>48</v>
      </c>
      <c r="C85" s="6">
        <v>42974.6</v>
      </c>
      <c r="D85" s="5"/>
      <c r="E85" s="5"/>
      <c r="F85" s="7"/>
      <c r="G85" s="5"/>
      <c r="H85" s="4">
        <f t="shared" si="9"/>
        <v>42974.6</v>
      </c>
      <c r="I85" s="5"/>
      <c r="J85" s="5"/>
      <c r="K85" s="2"/>
      <c r="L85" s="2"/>
    </row>
    <row r="86" spans="1:12" ht="18.75">
      <c r="A86" s="2">
        <v>5</v>
      </c>
      <c r="B86" s="3" t="s">
        <v>49</v>
      </c>
      <c r="C86" s="6">
        <v>49664.4</v>
      </c>
      <c r="D86" s="5"/>
      <c r="E86" s="5"/>
      <c r="F86" s="7"/>
      <c r="G86" s="5"/>
      <c r="H86" s="4">
        <f t="shared" si="9"/>
        <v>49664.4</v>
      </c>
      <c r="I86" s="5"/>
      <c r="J86" s="5"/>
      <c r="K86" s="2"/>
      <c r="L86" s="2"/>
    </row>
    <row r="87" spans="1:12" ht="18.75">
      <c r="A87" s="2">
        <v>6</v>
      </c>
      <c r="B87" s="3" t="s">
        <v>50</v>
      </c>
      <c r="C87" s="6">
        <v>49979.99</v>
      </c>
      <c r="D87" s="5"/>
      <c r="E87" s="5"/>
      <c r="F87" s="5"/>
      <c r="G87" s="8"/>
      <c r="H87" s="4">
        <f t="shared" si="9"/>
        <v>49979.99</v>
      </c>
      <c r="I87" s="5"/>
      <c r="J87" s="5"/>
      <c r="K87" s="2"/>
      <c r="L87" s="2"/>
    </row>
    <row r="88" spans="1:12" ht="18.75">
      <c r="A88" s="2">
        <v>7</v>
      </c>
      <c r="B88" s="3" t="s">
        <v>51</v>
      </c>
      <c r="C88" s="4">
        <v>282454.59999999998</v>
      </c>
      <c r="D88" s="5"/>
      <c r="E88" s="5"/>
      <c r="F88" s="5"/>
      <c r="G88" s="5"/>
      <c r="H88" s="4">
        <f t="shared" si="9"/>
        <v>282454.59999999998</v>
      </c>
      <c r="I88" s="5"/>
      <c r="J88" s="5"/>
      <c r="K88" s="2"/>
      <c r="L88" s="2"/>
    </row>
    <row r="89" spans="1:12" ht="18.75">
      <c r="A89" s="2">
        <v>8</v>
      </c>
      <c r="B89" s="3" t="s">
        <v>52</v>
      </c>
      <c r="C89" s="4">
        <v>10918.9</v>
      </c>
      <c r="D89" s="5"/>
      <c r="E89" s="5"/>
      <c r="F89" s="5"/>
      <c r="G89" s="5"/>
      <c r="H89" s="4">
        <f t="shared" si="9"/>
        <v>10918.9</v>
      </c>
      <c r="I89" s="5"/>
      <c r="J89" s="5"/>
      <c r="K89" s="2"/>
      <c r="L89" s="2"/>
    </row>
    <row r="90" spans="1:12" ht="18.75">
      <c r="A90" s="2">
        <v>9</v>
      </c>
      <c r="B90" s="3" t="s">
        <v>54</v>
      </c>
      <c r="C90" s="13">
        <v>8483.5400000000009</v>
      </c>
      <c r="D90" s="5"/>
      <c r="E90" s="5"/>
      <c r="F90" s="5"/>
      <c r="G90" s="5"/>
      <c r="H90" s="4">
        <f t="shared" si="9"/>
        <v>8483.5400000000009</v>
      </c>
      <c r="I90" s="5"/>
      <c r="J90" s="5"/>
      <c r="K90" s="2"/>
      <c r="L90" s="2"/>
    </row>
    <row r="91" spans="1:12" ht="18.75">
      <c r="A91" s="2">
        <v>10</v>
      </c>
      <c r="B91" s="3" t="s">
        <v>55</v>
      </c>
      <c r="C91" s="8">
        <v>212793</v>
      </c>
      <c r="D91" s="5"/>
      <c r="E91" s="5"/>
      <c r="F91" s="8"/>
      <c r="G91" s="9"/>
      <c r="H91" s="4">
        <f t="shared" si="9"/>
        <v>212793</v>
      </c>
      <c r="I91" s="5"/>
      <c r="J91" s="5"/>
      <c r="K91" s="2"/>
      <c r="L91" s="2"/>
    </row>
    <row r="92" spans="1:12" ht="18.75">
      <c r="A92" s="2">
        <v>11</v>
      </c>
      <c r="B92" s="3" t="s">
        <v>61</v>
      </c>
      <c r="C92" s="8">
        <v>27354.89</v>
      </c>
      <c r="D92" s="5"/>
      <c r="E92" s="5"/>
      <c r="F92" s="5"/>
      <c r="G92" s="5"/>
      <c r="H92" s="4">
        <f t="shared" si="9"/>
        <v>27354.89</v>
      </c>
      <c r="I92" s="5"/>
      <c r="J92" s="5"/>
      <c r="K92" s="2"/>
      <c r="L92" s="2"/>
    </row>
    <row r="93" spans="1:12" ht="18.75">
      <c r="A93" s="2">
        <v>12</v>
      </c>
      <c r="B93" s="3" t="s">
        <v>94</v>
      </c>
      <c r="C93" s="4">
        <v>987611.92</v>
      </c>
      <c r="D93" s="5"/>
      <c r="E93" s="5"/>
      <c r="F93" s="5"/>
      <c r="G93" s="5"/>
      <c r="H93" s="4">
        <f t="shared" si="9"/>
        <v>987611.92</v>
      </c>
      <c r="I93" s="5"/>
      <c r="J93" s="5"/>
      <c r="K93" s="2"/>
      <c r="L93" s="2"/>
    </row>
    <row r="94" spans="1:12" ht="18.75">
      <c r="A94" s="2">
        <v>13</v>
      </c>
      <c r="B94" s="3" t="s">
        <v>95</v>
      </c>
      <c r="C94" s="4">
        <v>959177.16</v>
      </c>
      <c r="D94" s="5"/>
      <c r="E94" s="5"/>
      <c r="F94" s="5"/>
      <c r="G94" s="5"/>
      <c r="H94" s="4">
        <f t="shared" si="9"/>
        <v>959177.16</v>
      </c>
      <c r="I94" s="5"/>
      <c r="J94" s="5"/>
      <c r="K94" s="2"/>
      <c r="L94" s="2"/>
    </row>
    <row r="95" spans="1:12" ht="18.75">
      <c r="A95" s="2">
        <v>14</v>
      </c>
      <c r="B95" s="3" t="s">
        <v>70</v>
      </c>
      <c r="C95" s="4">
        <v>2966</v>
      </c>
      <c r="D95" s="5"/>
      <c r="E95" s="5"/>
      <c r="F95" s="5"/>
      <c r="G95" s="5"/>
      <c r="H95" s="4">
        <f t="shared" si="9"/>
        <v>2966</v>
      </c>
      <c r="I95" s="5"/>
      <c r="J95" s="5"/>
      <c r="K95" s="2"/>
      <c r="L95" s="2"/>
    </row>
    <row r="96" spans="1:12" ht="18.75">
      <c r="A96" s="2">
        <v>15</v>
      </c>
      <c r="B96" s="3" t="s">
        <v>90</v>
      </c>
      <c r="C96" s="5">
        <v>28991.3</v>
      </c>
      <c r="D96" s="5"/>
      <c r="E96" s="5"/>
      <c r="F96" s="5"/>
      <c r="G96" s="5"/>
      <c r="H96" s="4">
        <f t="shared" si="9"/>
        <v>28991.3</v>
      </c>
      <c r="I96" s="5"/>
      <c r="J96" s="5"/>
      <c r="K96" s="2"/>
      <c r="L96" s="2"/>
    </row>
    <row r="97" spans="1:12" ht="46.5">
      <c r="A97" s="2">
        <v>16</v>
      </c>
      <c r="B97" s="3" t="s">
        <v>91</v>
      </c>
      <c r="C97" s="4">
        <v>4023</v>
      </c>
      <c r="D97" s="5"/>
      <c r="E97" s="5"/>
      <c r="F97" s="5"/>
      <c r="G97" s="5"/>
      <c r="H97" s="4">
        <f t="shared" si="9"/>
        <v>4023</v>
      </c>
      <c r="I97" s="5"/>
      <c r="J97" s="5"/>
      <c r="K97" s="268"/>
      <c r="L97" s="2"/>
    </row>
    <row r="98" spans="1:12" ht="26.25">
      <c r="A98" s="10"/>
      <c r="B98" s="10" t="s">
        <v>92</v>
      </c>
      <c r="C98" s="11">
        <f t="shared" ref="C98:J98" si="10">SUM(C82:C97)</f>
        <v>2740455.55</v>
      </c>
      <c r="D98" s="12">
        <f t="shared" si="10"/>
        <v>0</v>
      </c>
      <c r="E98" s="12">
        <f t="shared" si="10"/>
        <v>0</v>
      </c>
      <c r="F98" s="12">
        <f t="shared" si="10"/>
        <v>0</v>
      </c>
      <c r="G98" s="12">
        <f t="shared" si="10"/>
        <v>0</v>
      </c>
      <c r="H98" s="11">
        <f t="shared" si="10"/>
        <v>2740455.55</v>
      </c>
      <c r="I98" s="5">
        <f t="shared" si="10"/>
        <v>0</v>
      </c>
      <c r="J98" s="5">
        <f t="shared" si="10"/>
        <v>0</v>
      </c>
      <c r="K98" s="2"/>
      <c r="L98" s="2"/>
    </row>
    <row r="100" spans="1:12">
      <c r="A100" s="297">
        <v>45723</v>
      </c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9"/>
    </row>
    <row r="101" spans="1:12">
      <c r="A101" s="300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2"/>
    </row>
    <row r="102" spans="1:12" ht="18.75">
      <c r="A102" s="1" t="s">
        <v>75</v>
      </c>
      <c r="B102" s="1" t="s">
        <v>76</v>
      </c>
      <c r="C102" s="1" t="s">
        <v>77</v>
      </c>
      <c r="D102" s="1" t="s">
        <v>98</v>
      </c>
      <c r="E102" s="1" t="s">
        <v>79</v>
      </c>
      <c r="F102" s="1" t="s">
        <v>80</v>
      </c>
      <c r="G102" s="1" t="s">
        <v>57</v>
      </c>
      <c r="H102" s="1" t="s">
        <v>81</v>
      </c>
      <c r="I102" s="1" t="s">
        <v>82</v>
      </c>
      <c r="J102" s="1" t="s">
        <v>99</v>
      </c>
      <c r="K102" s="1" t="s">
        <v>47</v>
      </c>
      <c r="L102" s="1" t="s">
        <v>84</v>
      </c>
    </row>
    <row r="103" spans="1:12" ht="18.75">
      <c r="A103" s="2">
        <v>1</v>
      </c>
      <c r="B103" s="3" t="s">
        <v>13</v>
      </c>
      <c r="C103" s="4">
        <v>57346.1</v>
      </c>
      <c r="D103" s="5"/>
      <c r="E103" s="5"/>
      <c r="F103" s="5"/>
      <c r="G103" s="5"/>
      <c r="H103" s="4">
        <f t="shared" ref="H103:H119" si="11">C103+D103+E103+F103-G103</f>
        <v>57346.1</v>
      </c>
      <c r="I103" s="5"/>
      <c r="J103" s="5"/>
      <c r="K103" s="2"/>
      <c r="L103" s="2"/>
    </row>
    <row r="104" spans="1:12" ht="18.75">
      <c r="A104" s="2">
        <v>2</v>
      </c>
      <c r="B104" s="3" t="s">
        <v>100</v>
      </c>
      <c r="C104" s="4">
        <v>6519</v>
      </c>
      <c r="D104" s="5"/>
      <c r="E104" s="5"/>
      <c r="F104" s="5"/>
      <c r="G104" s="5"/>
      <c r="H104" s="4">
        <f t="shared" si="11"/>
        <v>6519</v>
      </c>
      <c r="I104" s="5"/>
      <c r="J104" s="5"/>
      <c r="K104" s="2"/>
      <c r="L104" s="2"/>
    </row>
    <row r="105" spans="1:12" ht="18.75">
      <c r="A105" s="2">
        <v>3</v>
      </c>
      <c r="B105" s="3" t="s">
        <v>101</v>
      </c>
      <c r="C105" s="4">
        <v>17353</v>
      </c>
      <c r="D105" s="5"/>
      <c r="E105" s="5"/>
      <c r="F105" s="5"/>
      <c r="G105" s="5"/>
      <c r="H105" s="4">
        <f t="shared" si="11"/>
        <v>17353</v>
      </c>
      <c r="I105" s="5"/>
      <c r="J105" s="5"/>
      <c r="K105" s="2"/>
      <c r="L105" s="2"/>
    </row>
    <row r="106" spans="1:12" ht="18.75">
      <c r="A106" s="2">
        <v>4</v>
      </c>
      <c r="B106" s="3" t="s">
        <v>48</v>
      </c>
      <c r="C106" s="6">
        <v>42944</v>
      </c>
      <c r="D106" s="5"/>
      <c r="E106" s="5"/>
      <c r="F106" s="7"/>
      <c r="G106" s="5"/>
      <c r="H106" s="4">
        <f t="shared" si="11"/>
        <v>42944</v>
      </c>
      <c r="I106" s="5"/>
      <c r="J106" s="5"/>
      <c r="K106" s="2"/>
      <c r="L106" s="2"/>
    </row>
    <row r="107" spans="1:12" ht="18.75">
      <c r="A107" s="2">
        <v>5</v>
      </c>
      <c r="B107" s="3" t="s">
        <v>49</v>
      </c>
      <c r="C107" s="6">
        <v>54428.4</v>
      </c>
      <c r="D107" s="5"/>
      <c r="E107" s="5"/>
      <c r="F107" s="7"/>
      <c r="G107" s="5"/>
      <c r="H107" s="4">
        <f t="shared" si="11"/>
        <v>54428.4</v>
      </c>
      <c r="I107" s="5"/>
      <c r="J107" s="5"/>
      <c r="K107" s="2"/>
      <c r="L107" s="2"/>
    </row>
    <row r="108" spans="1:12" ht="18.75">
      <c r="A108" s="2">
        <v>6</v>
      </c>
      <c r="B108" s="3" t="s">
        <v>50</v>
      </c>
      <c r="C108" s="6">
        <v>47445.79</v>
      </c>
      <c r="D108" s="5"/>
      <c r="E108" s="5"/>
      <c r="F108" s="5"/>
      <c r="G108" s="8"/>
      <c r="H108" s="4">
        <f t="shared" si="11"/>
        <v>47445.79</v>
      </c>
      <c r="I108" s="5"/>
      <c r="J108" s="5"/>
      <c r="K108" s="2"/>
      <c r="L108" s="2"/>
    </row>
    <row r="109" spans="1:12" ht="18.75">
      <c r="A109" s="2">
        <v>7</v>
      </c>
      <c r="B109" s="3" t="s">
        <v>51</v>
      </c>
      <c r="C109" s="4">
        <v>291751</v>
      </c>
      <c r="D109" s="5"/>
      <c r="E109" s="5"/>
      <c r="F109" s="5"/>
      <c r="G109" s="5"/>
      <c r="H109" s="4">
        <f t="shared" si="11"/>
        <v>291751</v>
      </c>
      <c r="I109" s="5"/>
      <c r="J109" s="5"/>
      <c r="K109" s="2"/>
      <c r="L109" s="2"/>
    </row>
    <row r="110" spans="1:12" ht="18.75">
      <c r="A110" s="2">
        <v>8</v>
      </c>
      <c r="B110" s="3" t="s">
        <v>52</v>
      </c>
      <c r="C110" s="4">
        <v>6728.08</v>
      </c>
      <c r="D110" s="5"/>
      <c r="E110" s="5"/>
      <c r="F110" s="5"/>
      <c r="G110" s="5"/>
      <c r="H110" s="4">
        <f t="shared" si="11"/>
        <v>6728.08</v>
      </c>
      <c r="I110" s="5"/>
      <c r="J110" s="5"/>
      <c r="K110" s="2"/>
      <c r="L110" s="2"/>
    </row>
    <row r="111" spans="1:12" ht="18.75">
      <c r="A111" s="2">
        <v>9</v>
      </c>
      <c r="B111" s="3" t="s">
        <v>54</v>
      </c>
      <c r="C111" s="13">
        <v>8255.5400000000009</v>
      </c>
      <c r="D111" s="5"/>
      <c r="E111" s="5"/>
      <c r="F111" s="5"/>
      <c r="G111" s="5"/>
      <c r="H111" s="4">
        <f t="shared" si="11"/>
        <v>8255.5400000000009</v>
      </c>
      <c r="I111" s="5"/>
      <c r="J111" s="5"/>
      <c r="K111" s="2"/>
      <c r="L111" s="2"/>
    </row>
    <row r="112" spans="1:12" ht="18.75">
      <c r="A112" s="2">
        <v>10</v>
      </c>
      <c r="B112" s="3" t="s">
        <v>103</v>
      </c>
      <c r="C112" s="13">
        <v>8530</v>
      </c>
      <c r="D112" s="5"/>
      <c r="E112" s="5"/>
      <c r="F112" s="5"/>
      <c r="G112" s="5"/>
      <c r="H112" s="4">
        <f t="shared" si="11"/>
        <v>8530</v>
      </c>
      <c r="I112" s="5"/>
      <c r="J112" s="5"/>
      <c r="K112" s="2"/>
      <c r="L112" s="2"/>
    </row>
    <row r="113" spans="1:12" ht="18.75">
      <c r="A113" s="2">
        <v>11</v>
      </c>
      <c r="B113" s="3" t="s">
        <v>55</v>
      </c>
      <c r="C113" s="8">
        <v>212793</v>
      </c>
      <c r="D113" s="5"/>
      <c r="E113" s="5"/>
      <c r="F113" s="8"/>
      <c r="G113" s="9"/>
      <c r="H113" s="4">
        <f t="shared" si="11"/>
        <v>212793</v>
      </c>
      <c r="I113" s="5"/>
      <c r="J113" s="5"/>
      <c r="K113" s="2"/>
      <c r="L113" s="2"/>
    </row>
    <row r="114" spans="1:12" ht="18.75">
      <c r="A114" s="2">
        <v>12</v>
      </c>
      <c r="B114" s="3" t="s">
        <v>61</v>
      </c>
      <c r="C114" s="8">
        <v>22806.54</v>
      </c>
      <c r="D114" s="5"/>
      <c r="E114" s="5"/>
      <c r="F114" s="5"/>
      <c r="G114" s="5"/>
      <c r="H114" s="4">
        <f t="shared" si="11"/>
        <v>22806.54</v>
      </c>
      <c r="I114" s="5"/>
      <c r="J114" s="5"/>
      <c r="K114" s="2"/>
      <c r="L114" s="2"/>
    </row>
    <row r="115" spans="1:12" ht="18.75">
      <c r="A115" s="2">
        <v>13</v>
      </c>
      <c r="B115" s="3" t="s">
        <v>94</v>
      </c>
      <c r="C115" s="15">
        <v>974088.92</v>
      </c>
      <c r="D115" s="5"/>
      <c r="E115" s="5"/>
      <c r="F115" s="5"/>
      <c r="G115" s="5"/>
      <c r="H115" s="4">
        <f t="shared" si="11"/>
        <v>974088.92</v>
      </c>
      <c r="I115" s="5"/>
      <c r="J115" s="5"/>
      <c r="K115" s="2"/>
      <c r="L115" s="2"/>
    </row>
    <row r="116" spans="1:12" ht="18.75">
      <c r="A116" s="2">
        <v>14</v>
      </c>
      <c r="B116" s="3" t="s">
        <v>95</v>
      </c>
      <c r="C116" s="4">
        <v>944561.66</v>
      </c>
      <c r="D116" s="5"/>
      <c r="E116" s="5"/>
      <c r="F116" s="5"/>
      <c r="G116" s="5"/>
      <c r="H116" s="4">
        <f t="shared" si="11"/>
        <v>944561.66</v>
      </c>
      <c r="I116" s="5"/>
      <c r="J116" s="5"/>
      <c r="K116" s="2"/>
      <c r="L116" s="2"/>
    </row>
    <row r="117" spans="1:12" ht="18.75">
      <c r="A117" s="2">
        <v>15</v>
      </c>
      <c r="B117" s="3" t="s">
        <v>70</v>
      </c>
      <c r="C117" s="4">
        <v>2966</v>
      </c>
      <c r="D117" s="5"/>
      <c r="E117" s="5"/>
      <c r="F117" s="5"/>
      <c r="G117" s="5"/>
      <c r="H117" s="4">
        <f t="shared" si="11"/>
        <v>2966</v>
      </c>
      <c r="I117" s="5"/>
      <c r="J117" s="5"/>
      <c r="K117" s="2"/>
      <c r="L117" s="2"/>
    </row>
    <row r="118" spans="1:12" ht="18.75">
      <c r="A118" s="2">
        <v>16</v>
      </c>
      <c r="B118" s="3" t="s">
        <v>90</v>
      </c>
      <c r="C118" s="5">
        <v>28991.3</v>
      </c>
      <c r="D118" s="5"/>
      <c r="E118" s="5"/>
      <c r="F118" s="5"/>
      <c r="G118" s="5"/>
      <c r="H118" s="4">
        <f t="shared" si="11"/>
        <v>28991.3</v>
      </c>
      <c r="I118" s="5"/>
      <c r="J118" s="5"/>
      <c r="K118" s="2"/>
      <c r="L118" s="2"/>
    </row>
    <row r="119" spans="1:12" ht="18.75">
      <c r="A119" s="2">
        <v>17</v>
      </c>
      <c r="B119" s="3" t="s">
        <v>91</v>
      </c>
      <c r="C119" s="4">
        <v>4023</v>
      </c>
      <c r="D119" s="5"/>
      <c r="E119" s="5"/>
      <c r="F119" s="5"/>
      <c r="G119" s="5"/>
      <c r="H119" s="4">
        <f t="shared" si="11"/>
        <v>4023</v>
      </c>
      <c r="I119" s="5"/>
      <c r="J119" s="5"/>
      <c r="K119" s="2"/>
      <c r="L119" s="2"/>
    </row>
    <row r="120" spans="1:12" ht="26.25">
      <c r="A120" s="10"/>
      <c r="B120" s="10" t="s">
        <v>92</v>
      </c>
      <c r="C120" s="11">
        <f t="shared" ref="C120:J120" si="12">SUM(C103:C119)</f>
        <v>2731531.33</v>
      </c>
      <c r="D120" s="12">
        <f t="shared" si="12"/>
        <v>0</v>
      </c>
      <c r="E120" s="12">
        <f t="shared" si="12"/>
        <v>0</v>
      </c>
      <c r="F120" s="12">
        <f t="shared" si="12"/>
        <v>0</v>
      </c>
      <c r="G120" s="12">
        <f t="shared" si="12"/>
        <v>0</v>
      </c>
      <c r="H120" s="11">
        <f t="shared" si="12"/>
        <v>2731531.33</v>
      </c>
      <c r="I120" s="5">
        <f t="shared" si="12"/>
        <v>0</v>
      </c>
      <c r="J120" s="5">
        <f t="shared" si="12"/>
        <v>0</v>
      </c>
      <c r="K120" s="2"/>
      <c r="L120" s="2"/>
    </row>
    <row r="122" spans="1:12">
      <c r="H122" s="14"/>
    </row>
    <row r="123" spans="1:12">
      <c r="H123" s="14"/>
    </row>
    <row r="125" spans="1:12">
      <c r="A125" s="303">
        <v>45937</v>
      </c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</row>
    <row r="126" spans="1:12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</row>
    <row r="127" spans="1:12" ht="18.75">
      <c r="A127" s="1" t="s">
        <v>75</v>
      </c>
      <c r="B127" s="1" t="s">
        <v>76</v>
      </c>
      <c r="C127" s="1" t="s">
        <v>77</v>
      </c>
      <c r="D127" s="1" t="s">
        <v>98</v>
      </c>
      <c r="E127" s="1" t="s">
        <v>79</v>
      </c>
      <c r="F127" s="1" t="s">
        <v>80</v>
      </c>
      <c r="G127" s="1" t="s">
        <v>57</v>
      </c>
      <c r="H127" s="1" t="s">
        <v>81</v>
      </c>
      <c r="I127" s="1" t="s">
        <v>82</v>
      </c>
      <c r="J127" s="1" t="s">
        <v>99</v>
      </c>
      <c r="K127" s="1" t="s">
        <v>47</v>
      </c>
      <c r="L127" s="1" t="s">
        <v>84</v>
      </c>
    </row>
    <row r="128" spans="1:12" ht="18.75">
      <c r="A128" s="2">
        <v>1</v>
      </c>
      <c r="B128" s="3" t="s">
        <v>13</v>
      </c>
      <c r="C128" s="4">
        <v>57346.1</v>
      </c>
      <c r="D128" s="5"/>
      <c r="E128" s="5"/>
      <c r="F128" s="5"/>
      <c r="G128" s="5"/>
      <c r="H128" s="4">
        <f t="shared" ref="H128:H144" si="13">C128+D128+E128+F128-G128</f>
        <v>57346.1</v>
      </c>
      <c r="I128" s="5">
        <f>H103-H128</f>
        <v>0</v>
      </c>
      <c r="J128" s="5"/>
      <c r="K128" s="2"/>
      <c r="L128" s="2"/>
    </row>
    <row r="129" spans="1:12" ht="18.75">
      <c r="A129" s="2">
        <v>2</v>
      </c>
      <c r="B129" s="3" t="s">
        <v>100</v>
      </c>
      <c r="C129" s="4">
        <v>6519</v>
      </c>
      <c r="D129" s="5"/>
      <c r="E129" s="5"/>
      <c r="F129" s="5"/>
      <c r="G129" s="5"/>
      <c r="H129" s="4">
        <f t="shared" si="13"/>
        <v>6519</v>
      </c>
      <c r="I129" s="5">
        <f t="shared" ref="I129:I144" si="14">H104-H129</f>
        <v>0</v>
      </c>
      <c r="J129" s="5"/>
      <c r="K129" s="2"/>
      <c r="L129" s="2"/>
    </row>
    <row r="130" spans="1:12" ht="18.75">
      <c r="A130" s="2">
        <v>3</v>
      </c>
      <c r="B130" s="3" t="s">
        <v>101</v>
      </c>
      <c r="C130" s="4">
        <v>17353</v>
      </c>
      <c r="D130" s="5"/>
      <c r="E130" s="5"/>
      <c r="F130" s="5"/>
      <c r="G130" s="5"/>
      <c r="H130" s="4">
        <f t="shared" si="13"/>
        <v>17353</v>
      </c>
      <c r="I130" s="5">
        <f t="shared" si="14"/>
        <v>0</v>
      </c>
      <c r="J130" s="5"/>
      <c r="K130" s="2"/>
      <c r="L130" s="2"/>
    </row>
    <row r="131" spans="1:12" ht="18.75">
      <c r="A131" s="2">
        <v>4</v>
      </c>
      <c r="B131" s="3" t="s">
        <v>48</v>
      </c>
      <c r="C131" s="6">
        <v>42944</v>
      </c>
      <c r="D131" s="5"/>
      <c r="E131" s="5"/>
      <c r="F131" s="7"/>
      <c r="G131" s="5"/>
      <c r="H131" s="4">
        <f t="shared" si="13"/>
        <v>42944</v>
      </c>
      <c r="I131" s="5">
        <f t="shared" si="14"/>
        <v>0</v>
      </c>
      <c r="J131" s="5"/>
      <c r="K131" s="2"/>
      <c r="L131" s="2"/>
    </row>
    <row r="132" spans="1:12" ht="18.75">
      <c r="A132" s="2">
        <v>5</v>
      </c>
      <c r="B132" s="3" t="s">
        <v>49</v>
      </c>
      <c r="C132" s="6">
        <v>54428.4</v>
      </c>
      <c r="D132" s="5"/>
      <c r="E132" s="5"/>
      <c r="F132" s="7"/>
      <c r="G132" s="5"/>
      <c r="H132" s="4">
        <f t="shared" si="13"/>
        <v>54428.4</v>
      </c>
      <c r="I132" s="5">
        <f t="shared" si="14"/>
        <v>0</v>
      </c>
      <c r="J132" s="5"/>
      <c r="K132" s="2"/>
      <c r="L132" s="2"/>
    </row>
    <row r="133" spans="1:12" ht="18.75">
      <c r="A133" s="2">
        <v>6</v>
      </c>
      <c r="B133" s="3" t="s">
        <v>50</v>
      </c>
      <c r="C133" s="6">
        <v>47445.79</v>
      </c>
      <c r="D133" s="5"/>
      <c r="E133" s="5"/>
      <c r="F133" s="5"/>
      <c r="G133" s="8"/>
      <c r="H133" s="4">
        <f t="shared" si="13"/>
        <v>47445.79</v>
      </c>
      <c r="I133" s="5">
        <f t="shared" si="14"/>
        <v>0</v>
      </c>
      <c r="J133" s="5"/>
      <c r="K133" s="2"/>
      <c r="L133" s="2"/>
    </row>
    <row r="134" spans="1:12" ht="18" customHeight="1">
      <c r="A134" s="2">
        <v>7</v>
      </c>
      <c r="B134" s="3" t="s">
        <v>51</v>
      </c>
      <c r="C134" s="4">
        <v>291751</v>
      </c>
      <c r="D134" s="5"/>
      <c r="E134" s="5"/>
      <c r="F134" s="5"/>
      <c r="G134" s="5"/>
      <c r="H134" s="4">
        <f t="shared" si="13"/>
        <v>291751</v>
      </c>
      <c r="I134" s="5">
        <f t="shared" si="14"/>
        <v>0</v>
      </c>
      <c r="J134" s="5"/>
      <c r="K134" s="2"/>
      <c r="L134" s="2"/>
    </row>
    <row r="135" spans="1:12" ht="18.75">
      <c r="A135" s="2">
        <v>8</v>
      </c>
      <c r="B135" s="3" t="s">
        <v>52</v>
      </c>
      <c r="C135" s="4">
        <v>5954.19</v>
      </c>
      <c r="D135" s="5"/>
      <c r="E135" s="5"/>
      <c r="F135" s="5"/>
      <c r="G135" s="5"/>
      <c r="H135" s="4">
        <f t="shared" si="13"/>
        <v>5954.19</v>
      </c>
      <c r="I135" s="5">
        <f t="shared" si="14"/>
        <v>773.89000000000033</v>
      </c>
      <c r="J135" s="5"/>
      <c r="K135" s="2"/>
      <c r="L135" s="2"/>
    </row>
    <row r="136" spans="1:12" ht="18.75">
      <c r="A136" s="2">
        <v>9</v>
      </c>
      <c r="B136" s="3" t="s">
        <v>54</v>
      </c>
      <c r="C136" s="13">
        <v>7544.24</v>
      </c>
      <c r="D136" s="5"/>
      <c r="E136" s="5"/>
      <c r="F136" s="5"/>
      <c r="G136" s="5"/>
      <c r="H136" s="4">
        <f t="shared" si="13"/>
        <v>7544.24</v>
      </c>
      <c r="I136" s="5">
        <f t="shared" si="14"/>
        <v>711.30000000000109</v>
      </c>
      <c r="J136" s="5"/>
      <c r="K136" s="2"/>
      <c r="L136" s="2"/>
    </row>
    <row r="137" spans="1:12" ht="18.75">
      <c r="A137" s="2">
        <v>10</v>
      </c>
      <c r="B137" s="3" t="s">
        <v>53</v>
      </c>
      <c r="C137" s="13">
        <v>11468</v>
      </c>
      <c r="D137" s="5"/>
      <c r="E137" s="5"/>
      <c r="F137" s="5"/>
      <c r="G137" s="5"/>
      <c r="H137" s="4">
        <f t="shared" si="13"/>
        <v>11468</v>
      </c>
      <c r="I137" s="5">
        <f t="shared" si="14"/>
        <v>-2938</v>
      </c>
      <c r="J137" s="5"/>
      <c r="K137" s="2"/>
      <c r="L137" s="2"/>
    </row>
    <row r="138" spans="1:12" ht="18.75">
      <c r="A138" s="2">
        <v>11</v>
      </c>
      <c r="B138" s="3" t="s">
        <v>55</v>
      </c>
      <c r="C138" s="8">
        <v>217042</v>
      </c>
      <c r="D138" s="5"/>
      <c r="E138" s="5"/>
      <c r="F138" s="8"/>
      <c r="G138" s="9"/>
      <c r="H138" s="4">
        <f t="shared" si="13"/>
        <v>217042</v>
      </c>
      <c r="I138" s="5">
        <f t="shared" si="14"/>
        <v>-4249</v>
      </c>
      <c r="J138" s="5"/>
      <c r="K138" s="2"/>
      <c r="L138" s="2"/>
    </row>
    <row r="139" spans="1:12" ht="18.75">
      <c r="A139" s="2">
        <v>12</v>
      </c>
      <c r="B139" s="3" t="s">
        <v>61</v>
      </c>
      <c r="C139" s="8">
        <v>22806.54</v>
      </c>
      <c r="D139" s="5"/>
      <c r="E139" s="5"/>
      <c r="F139" s="5"/>
      <c r="G139" s="5"/>
      <c r="H139" s="4">
        <f t="shared" si="13"/>
        <v>22806.54</v>
      </c>
      <c r="I139" s="5">
        <f t="shared" si="14"/>
        <v>0</v>
      </c>
      <c r="J139" s="5"/>
      <c r="K139" s="2"/>
      <c r="L139" s="2"/>
    </row>
    <row r="140" spans="1:12" ht="18.75">
      <c r="A140" s="2">
        <v>13</v>
      </c>
      <c r="B140" s="3" t="s">
        <v>94</v>
      </c>
      <c r="C140" s="8">
        <v>978724.42</v>
      </c>
      <c r="D140" s="5"/>
      <c r="E140" s="5"/>
      <c r="F140" s="5"/>
      <c r="G140" s="5"/>
      <c r="H140" s="4">
        <f t="shared" si="13"/>
        <v>978724.42</v>
      </c>
      <c r="I140" s="5">
        <f t="shared" si="14"/>
        <v>-4635.5</v>
      </c>
      <c r="J140" s="5"/>
      <c r="K140" s="2"/>
      <c r="L140" s="2"/>
    </row>
    <row r="141" spans="1:12" ht="18.75">
      <c r="A141" s="2">
        <v>14</v>
      </c>
      <c r="B141" s="3" t="s">
        <v>95</v>
      </c>
      <c r="C141" s="4">
        <v>937374.66</v>
      </c>
      <c r="D141" s="5"/>
      <c r="E141" s="5"/>
      <c r="F141" s="5"/>
      <c r="G141" s="5"/>
      <c r="H141" s="4">
        <f t="shared" si="13"/>
        <v>937374.66</v>
      </c>
      <c r="I141" s="5">
        <f t="shared" si="14"/>
        <v>7187</v>
      </c>
      <c r="J141" s="5"/>
      <c r="K141" s="2"/>
      <c r="L141" s="2"/>
    </row>
    <row r="142" spans="1:12" ht="18.75">
      <c r="A142" s="2">
        <v>15</v>
      </c>
      <c r="B142" s="3" t="s">
        <v>70</v>
      </c>
      <c r="C142" s="4">
        <v>2966</v>
      </c>
      <c r="D142" s="5"/>
      <c r="E142" s="5"/>
      <c r="F142" s="5"/>
      <c r="G142" s="5"/>
      <c r="H142" s="4">
        <f t="shared" si="13"/>
        <v>2966</v>
      </c>
      <c r="I142" s="5">
        <f t="shared" si="14"/>
        <v>0</v>
      </c>
      <c r="J142" s="5"/>
      <c r="K142" s="2"/>
      <c r="L142" s="2"/>
    </row>
    <row r="143" spans="1:12" ht="18.75">
      <c r="A143" s="2">
        <v>16</v>
      </c>
      <c r="B143" s="3" t="s">
        <v>90</v>
      </c>
      <c r="C143" s="5">
        <v>25855.8</v>
      </c>
      <c r="D143" s="5"/>
      <c r="E143" s="5"/>
      <c r="F143" s="5"/>
      <c r="G143" s="5"/>
      <c r="H143" s="4">
        <f t="shared" si="13"/>
        <v>25855.8</v>
      </c>
      <c r="I143" s="5">
        <f t="shared" si="14"/>
        <v>3135.5</v>
      </c>
      <c r="J143" s="5"/>
      <c r="K143" s="2"/>
      <c r="L143" s="2"/>
    </row>
    <row r="144" spans="1:12" ht="18.75">
      <c r="A144" s="2">
        <v>17</v>
      </c>
      <c r="B144" s="3" t="s">
        <v>91</v>
      </c>
      <c r="C144" s="4">
        <v>4003</v>
      </c>
      <c r="D144" s="5"/>
      <c r="E144" s="5"/>
      <c r="F144" s="5"/>
      <c r="G144" s="5"/>
      <c r="H144" s="4">
        <f t="shared" si="13"/>
        <v>4003</v>
      </c>
      <c r="I144" s="5">
        <f t="shared" si="14"/>
        <v>20</v>
      </c>
      <c r="J144" s="5"/>
      <c r="K144" s="2"/>
      <c r="L144" s="2"/>
    </row>
    <row r="145" spans="1:12" ht="26.25">
      <c r="A145" s="10"/>
      <c r="B145" s="10" t="s">
        <v>92</v>
      </c>
      <c r="C145" s="11">
        <f t="shared" ref="C145:J145" si="15">SUM(C128:C144)</f>
        <v>2731526.14</v>
      </c>
      <c r="D145" s="12">
        <f t="shared" si="15"/>
        <v>0</v>
      </c>
      <c r="E145" s="12">
        <f t="shared" si="15"/>
        <v>0</v>
      </c>
      <c r="F145" s="12">
        <f t="shared" si="15"/>
        <v>0</v>
      </c>
      <c r="G145" s="12">
        <f t="shared" si="15"/>
        <v>0</v>
      </c>
      <c r="H145" s="11">
        <f t="shared" si="15"/>
        <v>2731526.14</v>
      </c>
      <c r="I145" s="5">
        <f t="shared" si="15"/>
        <v>5.1900000000023283</v>
      </c>
      <c r="J145" s="5">
        <f t="shared" si="15"/>
        <v>0</v>
      </c>
      <c r="K145" s="2"/>
      <c r="L145" s="2"/>
    </row>
    <row r="146" spans="1:12">
      <c r="H146" s="16"/>
    </row>
    <row r="147" spans="1:12">
      <c r="H147" s="14"/>
    </row>
    <row r="151" spans="1:12">
      <c r="A151" s="303" t="s">
        <v>104</v>
      </c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</row>
    <row r="152" spans="1:12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</row>
    <row r="153" spans="1:12" ht="18.75">
      <c r="A153" s="1" t="s">
        <v>75</v>
      </c>
      <c r="B153" s="1" t="s">
        <v>76</v>
      </c>
      <c r="C153" s="1" t="s">
        <v>77</v>
      </c>
      <c r="D153" s="1" t="s">
        <v>98</v>
      </c>
      <c r="E153" s="1" t="s">
        <v>79</v>
      </c>
      <c r="F153" s="1" t="s">
        <v>80</v>
      </c>
      <c r="G153" s="1" t="s">
        <v>57</v>
      </c>
      <c r="H153" s="1" t="s">
        <v>81</v>
      </c>
      <c r="I153" s="1" t="s">
        <v>82</v>
      </c>
      <c r="J153" s="1" t="s">
        <v>99</v>
      </c>
      <c r="K153" s="1" t="s">
        <v>47</v>
      </c>
      <c r="L153" s="1" t="s">
        <v>84</v>
      </c>
    </row>
    <row r="154" spans="1:12" ht="21">
      <c r="A154" s="2">
        <v>1</v>
      </c>
      <c r="B154" s="3" t="s">
        <v>13</v>
      </c>
      <c r="C154" s="61">
        <v>55833</v>
      </c>
      <c r="D154" s="62"/>
      <c r="E154" s="62"/>
      <c r="F154" s="62"/>
      <c r="G154" s="62"/>
      <c r="H154" s="63">
        <f t="shared" ref="H154:H170" si="16">C154+D154+E154+F154-G154</f>
        <v>55833</v>
      </c>
      <c r="I154" s="5">
        <f>H154-H128</f>
        <v>-1513.0999999999985</v>
      </c>
      <c r="J154" s="5"/>
      <c r="K154" s="2"/>
      <c r="L154" s="2"/>
    </row>
    <row r="155" spans="1:12" ht="21">
      <c r="A155" s="2">
        <v>2</v>
      </c>
      <c r="B155" s="3" t="s">
        <v>100</v>
      </c>
      <c r="C155" s="60">
        <v>6519</v>
      </c>
      <c r="D155" s="62"/>
      <c r="E155" s="62"/>
      <c r="F155" s="62"/>
      <c r="G155" s="62"/>
      <c r="H155" s="63">
        <f t="shared" si="16"/>
        <v>6519</v>
      </c>
      <c r="I155" s="5">
        <f t="shared" ref="I155:I170" si="17">H155-H129</f>
        <v>0</v>
      </c>
      <c r="J155" s="5"/>
      <c r="K155" s="2"/>
      <c r="L155" s="2"/>
    </row>
    <row r="156" spans="1:12" ht="21">
      <c r="A156" s="2">
        <v>3</v>
      </c>
      <c r="B156" s="3" t="s">
        <v>101</v>
      </c>
      <c r="C156" s="63">
        <v>22663</v>
      </c>
      <c r="D156" s="62"/>
      <c r="E156" s="62"/>
      <c r="F156" s="62"/>
      <c r="G156" s="62"/>
      <c r="H156" s="63">
        <f t="shared" si="16"/>
        <v>22663</v>
      </c>
      <c r="I156" s="5">
        <f t="shared" si="17"/>
        <v>5310</v>
      </c>
      <c r="J156" s="5"/>
      <c r="K156" s="2"/>
      <c r="L156" s="2"/>
    </row>
    <row r="157" spans="1:12" ht="21">
      <c r="A157" s="2">
        <v>4</v>
      </c>
      <c r="B157" s="3" t="s">
        <v>48</v>
      </c>
      <c r="C157" s="64">
        <v>42944</v>
      </c>
      <c r="D157" s="62"/>
      <c r="E157" s="62"/>
      <c r="F157" s="65"/>
      <c r="G157" s="62"/>
      <c r="H157" s="63">
        <f t="shared" si="16"/>
        <v>42944</v>
      </c>
      <c r="I157" s="5">
        <f t="shared" si="17"/>
        <v>0</v>
      </c>
      <c r="J157" s="5"/>
      <c r="K157" s="2"/>
      <c r="L157" s="2"/>
    </row>
    <row r="158" spans="1:12" ht="21">
      <c r="A158" s="2">
        <v>5</v>
      </c>
      <c r="B158" s="3" t="s">
        <v>49</v>
      </c>
      <c r="C158" s="64">
        <v>54428.4</v>
      </c>
      <c r="D158" s="62"/>
      <c r="E158" s="62"/>
      <c r="F158" s="65"/>
      <c r="G158" s="62"/>
      <c r="H158" s="63">
        <f t="shared" si="16"/>
        <v>54428.4</v>
      </c>
      <c r="I158" s="5">
        <f t="shared" si="17"/>
        <v>0</v>
      </c>
      <c r="J158" s="5"/>
      <c r="K158" s="2"/>
      <c r="L158" s="2"/>
    </row>
    <row r="159" spans="1:12" ht="21">
      <c r="A159" s="2">
        <v>6</v>
      </c>
      <c r="B159" s="3" t="s">
        <v>50</v>
      </c>
      <c r="C159" s="64">
        <v>47445.79</v>
      </c>
      <c r="D159" s="62"/>
      <c r="E159" s="62"/>
      <c r="F159" s="62"/>
      <c r="G159" s="60"/>
      <c r="H159" s="63">
        <f t="shared" si="16"/>
        <v>47445.79</v>
      </c>
      <c r="I159" s="5">
        <f t="shared" si="17"/>
        <v>0</v>
      </c>
      <c r="J159" s="5"/>
      <c r="K159" s="2"/>
      <c r="L159" s="2"/>
    </row>
    <row r="160" spans="1:12" ht="21">
      <c r="A160" s="2">
        <v>7</v>
      </c>
      <c r="B160" s="3" t="s">
        <v>51</v>
      </c>
      <c r="C160" s="63">
        <v>291750.59999999998</v>
      </c>
      <c r="D160" s="62"/>
      <c r="E160" s="62"/>
      <c r="F160" s="62"/>
      <c r="G160" s="62"/>
      <c r="H160" s="63">
        <f t="shared" si="16"/>
        <v>291750.59999999998</v>
      </c>
      <c r="I160" s="5">
        <f t="shared" si="17"/>
        <v>-0.40000000002328306</v>
      </c>
      <c r="J160" s="5"/>
      <c r="K160" s="2"/>
      <c r="L160" s="2"/>
    </row>
    <row r="161" spans="1:13" ht="21">
      <c r="A161" s="2">
        <v>8</v>
      </c>
      <c r="B161" s="3" t="s">
        <v>52</v>
      </c>
      <c r="C161" s="63">
        <v>5954.19</v>
      </c>
      <c r="D161" s="62"/>
      <c r="E161" s="62"/>
      <c r="F161" s="62"/>
      <c r="G161" s="62"/>
      <c r="H161" s="63">
        <f t="shared" si="16"/>
        <v>5954.19</v>
      </c>
      <c r="I161" s="5">
        <f t="shared" si="17"/>
        <v>0</v>
      </c>
      <c r="J161" s="5"/>
      <c r="K161" s="2"/>
      <c r="L161" s="2"/>
    </row>
    <row r="162" spans="1:13" ht="21">
      <c r="A162" s="2">
        <v>9</v>
      </c>
      <c r="B162" s="3" t="s">
        <v>54</v>
      </c>
      <c r="C162" s="66">
        <v>7544.24</v>
      </c>
      <c r="D162" s="62"/>
      <c r="E162" s="62"/>
      <c r="F162" s="62"/>
      <c r="G162" s="62"/>
      <c r="H162" s="63">
        <f t="shared" si="16"/>
        <v>7544.24</v>
      </c>
      <c r="I162" s="5">
        <f t="shared" si="17"/>
        <v>0</v>
      </c>
      <c r="J162" s="5"/>
      <c r="K162" s="2"/>
      <c r="L162" s="2"/>
    </row>
    <row r="163" spans="1:13" ht="21">
      <c r="A163" s="2">
        <v>10</v>
      </c>
      <c r="B163" s="3" t="s">
        <v>53</v>
      </c>
      <c r="C163" s="66">
        <v>15705</v>
      </c>
      <c r="D163" s="62"/>
      <c r="E163" s="62"/>
      <c r="F163" s="62"/>
      <c r="G163" s="62"/>
      <c r="H163" s="63">
        <f t="shared" si="16"/>
        <v>15705</v>
      </c>
      <c r="I163" s="5">
        <f t="shared" si="17"/>
        <v>4237</v>
      </c>
      <c r="J163" s="5"/>
      <c r="K163" s="2"/>
      <c r="L163" s="2"/>
    </row>
    <row r="164" spans="1:13" ht="21">
      <c r="A164" s="2">
        <v>11</v>
      </c>
      <c r="B164" s="3" t="s">
        <v>55</v>
      </c>
      <c r="C164" s="60">
        <v>211204</v>
      </c>
      <c r="D164" s="62"/>
      <c r="E164" s="62"/>
      <c r="F164" s="60"/>
      <c r="G164" s="67"/>
      <c r="H164" s="63">
        <f t="shared" si="16"/>
        <v>211204</v>
      </c>
      <c r="I164" s="5">
        <f t="shared" si="17"/>
        <v>-5838</v>
      </c>
      <c r="J164" s="5"/>
      <c r="K164" s="2"/>
      <c r="L164" s="2"/>
    </row>
    <row r="165" spans="1:13" ht="21">
      <c r="A165" s="2">
        <v>12</v>
      </c>
      <c r="B165" s="3" t="s">
        <v>61</v>
      </c>
      <c r="C165" s="60">
        <v>22806.54</v>
      </c>
      <c r="D165" s="62"/>
      <c r="E165" s="62"/>
      <c r="F165" s="62"/>
      <c r="G165" s="62"/>
      <c r="H165" s="63">
        <f t="shared" si="16"/>
        <v>22806.54</v>
      </c>
      <c r="I165" s="5">
        <f t="shared" si="17"/>
        <v>0</v>
      </c>
      <c r="J165" s="5"/>
      <c r="K165" s="2"/>
      <c r="L165" s="2"/>
    </row>
    <row r="166" spans="1:13" ht="21">
      <c r="A166" s="2">
        <v>13</v>
      </c>
      <c r="B166" s="3" t="s">
        <v>94</v>
      </c>
      <c r="C166" s="60">
        <v>974067.42</v>
      </c>
      <c r="D166" s="62"/>
      <c r="E166" s="62"/>
      <c r="F166" s="62"/>
      <c r="G166" s="62"/>
      <c r="H166" s="63">
        <f t="shared" si="16"/>
        <v>974067.42</v>
      </c>
      <c r="I166" s="5">
        <f>H166-H140</f>
        <v>-4657</v>
      </c>
      <c r="J166" s="5"/>
      <c r="K166" s="2"/>
      <c r="L166" s="2"/>
    </row>
    <row r="167" spans="1:13" ht="21">
      <c r="A167" s="2">
        <v>14</v>
      </c>
      <c r="B167" s="3" t="s">
        <v>95</v>
      </c>
      <c r="C167" s="61">
        <v>937313.6</v>
      </c>
      <c r="D167" s="62"/>
      <c r="E167" s="62"/>
      <c r="F167" s="62"/>
      <c r="G167" s="62"/>
      <c r="H167" s="63">
        <f t="shared" si="16"/>
        <v>937313.6</v>
      </c>
      <c r="I167" s="5">
        <f t="shared" si="17"/>
        <v>-61.060000000055879</v>
      </c>
      <c r="J167" s="5"/>
      <c r="K167" s="2"/>
      <c r="L167" s="2"/>
    </row>
    <row r="168" spans="1:13" ht="21">
      <c r="A168" s="2">
        <v>15</v>
      </c>
      <c r="B168" s="3" t="s">
        <v>70</v>
      </c>
      <c r="C168" s="63">
        <v>2966</v>
      </c>
      <c r="D168" s="62"/>
      <c r="E168" s="62"/>
      <c r="F168" s="62"/>
      <c r="G168" s="62"/>
      <c r="H168" s="63">
        <f t="shared" si="16"/>
        <v>2966</v>
      </c>
      <c r="I168" s="5">
        <f t="shared" si="17"/>
        <v>0</v>
      </c>
      <c r="J168" s="5"/>
      <c r="K168" s="2"/>
      <c r="L168" s="2"/>
    </row>
    <row r="169" spans="1:13" ht="21">
      <c r="A169" s="2">
        <v>16</v>
      </c>
      <c r="B169" s="3" t="s">
        <v>90</v>
      </c>
      <c r="C169" s="62">
        <v>25855.8</v>
      </c>
      <c r="D169" s="62"/>
      <c r="E169" s="62"/>
      <c r="F169" s="62"/>
      <c r="G169" s="62"/>
      <c r="H169" s="63">
        <f t="shared" si="16"/>
        <v>25855.8</v>
      </c>
      <c r="I169" s="5">
        <f t="shared" si="17"/>
        <v>0</v>
      </c>
      <c r="J169" s="5"/>
      <c r="K169" s="2"/>
      <c r="L169" s="2"/>
    </row>
    <row r="170" spans="1:13" ht="21">
      <c r="A170" s="2">
        <v>17</v>
      </c>
      <c r="B170" s="3" t="s">
        <v>91</v>
      </c>
      <c r="C170" s="63">
        <v>6233</v>
      </c>
      <c r="D170" s="62"/>
      <c r="E170" s="62"/>
      <c r="F170" s="62"/>
      <c r="G170" s="62"/>
      <c r="H170" s="63">
        <f t="shared" si="16"/>
        <v>6233</v>
      </c>
      <c r="I170" s="5">
        <f t="shared" si="17"/>
        <v>2230</v>
      </c>
      <c r="J170" s="5"/>
      <c r="K170" s="2"/>
      <c r="L170" s="2"/>
    </row>
    <row r="171" spans="1:13" ht="26.25">
      <c r="A171" s="10"/>
      <c r="B171" s="10" t="s">
        <v>92</v>
      </c>
      <c r="C171" s="11">
        <f>SUM(C154:C170)</f>
        <v>2731233.58</v>
      </c>
      <c r="D171" s="12">
        <f t="shared" ref="D171:J171" si="18">SUM(D154:D170)</f>
        <v>0</v>
      </c>
      <c r="E171" s="12">
        <f t="shared" si="18"/>
        <v>0</v>
      </c>
      <c r="F171" s="12">
        <f t="shared" si="18"/>
        <v>0</v>
      </c>
      <c r="G171" s="12">
        <f t="shared" si="18"/>
        <v>0</v>
      </c>
      <c r="H171" s="11">
        <f>SUM(H154:H170)</f>
        <v>2731233.58</v>
      </c>
      <c r="I171" s="5"/>
      <c r="J171" s="5">
        <f t="shared" si="18"/>
        <v>0</v>
      </c>
      <c r="K171" s="2"/>
      <c r="L171" s="4"/>
      <c r="M171" s="14"/>
    </row>
    <row r="172" spans="1:13">
      <c r="H172" s="35"/>
    </row>
    <row r="173" spans="1:13">
      <c r="H173" s="16">
        <f>H171-H145</f>
        <v>-292.56000000005588</v>
      </c>
    </row>
    <row r="174" spans="1:13">
      <c r="H174" s="14"/>
    </row>
    <row r="175" spans="1:13">
      <c r="A175" s="303" t="s">
        <v>106</v>
      </c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</row>
    <row r="176" spans="1:13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</row>
    <row r="177" spans="1:12" ht="33.75" customHeight="1">
      <c r="A177" s="80" t="s">
        <v>75</v>
      </c>
      <c r="B177" s="80" t="s">
        <v>76</v>
      </c>
      <c r="C177" s="80" t="s">
        <v>77</v>
      </c>
      <c r="D177" s="80" t="s">
        <v>98</v>
      </c>
      <c r="E177" s="80" t="s">
        <v>79</v>
      </c>
      <c r="F177" s="80" t="s">
        <v>80</v>
      </c>
      <c r="G177" s="80" t="s">
        <v>57</v>
      </c>
      <c r="H177" s="80" t="s">
        <v>81</v>
      </c>
      <c r="I177" s="80" t="s">
        <v>82</v>
      </c>
      <c r="J177" s="80" t="s">
        <v>99</v>
      </c>
      <c r="K177" s="80" t="s">
        <v>47</v>
      </c>
      <c r="L177" s="80" t="s">
        <v>84</v>
      </c>
    </row>
    <row r="178" spans="1:12" ht="21">
      <c r="A178" s="82">
        <v>1</v>
      </c>
      <c r="B178" s="83" t="s">
        <v>13</v>
      </c>
      <c r="C178" s="74">
        <v>55834.1</v>
      </c>
      <c r="D178" s="62"/>
      <c r="E178" s="62"/>
      <c r="F178" s="62"/>
      <c r="G178" s="62"/>
      <c r="H178" s="63">
        <f t="shared" ref="H178:H194" si="19">C178+D178+E178+F178-G178</f>
        <v>55834.1</v>
      </c>
      <c r="I178" s="62">
        <f t="shared" ref="I178:I184" si="20">H178-H154</f>
        <v>1.0999999999985448</v>
      </c>
      <c r="J178" s="76"/>
      <c r="K178" s="82"/>
      <c r="L178" s="82"/>
    </row>
    <row r="179" spans="1:12" ht="21">
      <c r="A179" s="82">
        <v>2</v>
      </c>
      <c r="B179" s="83" t="s">
        <v>100</v>
      </c>
      <c r="C179" s="60">
        <v>6519</v>
      </c>
      <c r="D179" s="62"/>
      <c r="E179" s="62"/>
      <c r="F179" s="62"/>
      <c r="G179" s="62"/>
      <c r="H179" s="63">
        <f t="shared" si="19"/>
        <v>6519</v>
      </c>
      <c r="I179" s="62">
        <f t="shared" si="20"/>
        <v>0</v>
      </c>
      <c r="J179" s="76"/>
      <c r="K179" s="82"/>
      <c r="L179" s="82"/>
    </row>
    <row r="180" spans="1:12" ht="21">
      <c r="A180" s="82">
        <v>3</v>
      </c>
      <c r="B180" s="83" t="s">
        <v>101</v>
      </c>
      <c r="C180" s="63">
        <v>22663</v>
      </c>
      <c r="D180" s="62"/>
      <c r="E180" s="62"/>
      <c r="F180" s="62"/>
      <c r="G180" s="62"/>
      <c r="H180" s="63">
        <f t="shared" si="19"/>
        <v>22663</v>
      </c>
      <c r="I180" s="62">
        <f t="shared" si="20"/>
        <v>0</v>
      </c>
      <c r="J180" s="76"/>
      <c r="K180" s="82"/>
      <c r="L180" s="82"/>
    </row>
    <row r="181" spans="1:12" ht="21">
      <c r="A181" s="82">
        <v>4</v>
      </c>
      <c r="B181" s="83" t="s">
        <v>48</v>
      </c>
      <c r="C181" s="64">
        <v>42944</v>
      </c>
      <c r="D181" s="62"/>
      <c r="E181" s="62"/>
      <c r="F181" s="65">
        <v>3695</v>
      </c>
      <c r="G181" s="62"/>
      <c r="H181" s="63">
        <f t="shared" si="19"/>
        <v>46639</v>
      </c>
      <c r="I181" s="62">
        <f t="shared" si="20"/>
        <v>3695</v>
      </c>
      <c r="J181" s="76"/>
      <c r="K181" s="82"/>
      <c r="L181" s="82"/>
    </row>
    <row r="182" spans="1:12" ht="21">
      <c r="A182" s="82">
        <v>5</v>
      </c>
      <c r="B182" s="83" t="s">
        <v>49</v>
      </c>
      <c r="C182" s="64">
        <v>54428.4</v>
      </c>
      <c r="D182" s="62"/>
      <c r="E182" s="62"/>
      <c r="F182" s="65">
        <v>3660</v>
      </c>
      <c r="G182" s="62"/>
      <c r="H182" s="63">
        <f t="shared" si="19"/>
        <v>58088.4</v>
      </c>
      <c r="I182" s="62">
        <f t="shared" si="20"/>
        <v>3660</v>
      </c>
      <c r="J182" s="76"/>
      <c r="K182" s="82"/>
      <c r="L182" s="82"/>
    </row>
    <row r="183" spans="1:12" ht="21">
      <c r="A183" s="82">
        <v>6</v>
      </c>
      <c r="B183" s="83" t="s">
        <v>50</v>
      </c>
      <c r="C183" s="64">
        <v>47445.79</v>
      </c>
      <c r="D183" s="62"/>
      <c r="E183" s="62"/>
      <c r="F183" s="62">
        <v>430</v>
      </c>
      <c r="G183" s="60"/>
      <c r="H183" s="63">
        <f t="shared" si="19"/>
        <v>47875.79</v>
      </c>
      <c r="I183" s="62">
        <f t="shared" si="20"/>
        <v>430</v>
      </c>
      <c r="J183" s="76"/>
      <c r="K183" s="82"/>
      <c r="L183" s="82"/>
    </row>
    <row r="184" spans="1:12" ht="21">
      <c r="A184" s="82">
        <v>7</v>
      </c>
      <c r="B184" s="83" t="s">
        <v>51</v>
      </c>
      <c r="C184" s="63">
        <f>289272+892.2</f>
        <v>290164.2</v>
      </c>
      <c r="D184" s="62"/>
      <c r="E184" s="62"/>
      <c r="F184" s="62"/>
      <c r="G184" s="62">
        <v>2478.6</v>
      </c>
      <c r="H184" s="63">
        <f t="shared" si="19"/>
        <v>287685.60000000003</v>
      </c>
      <c r="I184" s="62">
        <f t="shared" si="20"/>
        <v>-4064.9999999999418</v>
      </c>
      <c r="J184" s="76"/>
      <c r="K184" s="77"/>
      <c r="L184" s="82"/>
    </row>
    <row r="185" spans="1:12" ht="21">
      <c r="A185" s="82">
        <v>8</v>
      </c>
      <c r="B185" s="83" t="s">
        <v>52</v>
      </c>
      <c r="C185" s="63">
        <v>5954.19</v>
      </c>
      <c r="D185" s="62"/>
      <c r="E185" s="62"/>
      <c r="F185" s="62"/>
      <c r="G185" s="62"/>
      <c r="H185" s="63">
        <f t="shared" si="19"/>
        <v>5954.19</v>
      </c>
      <c r="I185" s="62">
        <f t="shared" ref="I185:I194" si="21">H185-H161</f>
        <v>0</v>
      </c>
      <c r="J185" s="76"/>
      <c r="K185" s="82"/>
      <c r="L185" s="82"/>
    </row>
    <row r="186" spans="1:12" ht="21">
      <c r="A186" s="82">
        <v>9</v>
      </c>
      <c r="B186" s="83" t="s">
        <v>54</v>
      </c>
      <c r="C186" s="66">
        <v>7544.24</v>
      </c>
      <c r="D186" s="62"/>
      <c r="E186" s="62"/>
      <c r="F186" s="62"/>
      <c r="G186" s="62"/>
      <c r="H186" s="63">
        <f t="shared" si="19"/>
        <v>7544.24</v>
      </c>
      <c r="I186" s="62">
        <f t="shared" si="21"/>
        <v>0</v>
      </c>
      <c r="J186" s="76"/>
      <c r="K186" s="82"/>
      <c r="L186" s="82"/>
    </row>
    <row r="187" spans="1:12" ht="21">
      <c r="A187" s="82">
        <v>10</v>
      </c>
      <c r="B187" s="83" t="s">
        <v>53</v>
      </c>
      <c r="C187" s="66">
        <v>15705</v>
      </c>
      <c r="D187" s="62"/>
      <c r="E187" s="62"/>
      <c r="F187" s="62"/>
      <c r="G187" s="62"/>
      <c r="H187" s="63">
        <f t="shared" si="19"/>
        <v>15705</v>
      </c>
      <c r="I187" s="62">
        <f t="shared" si="21"/>
        <v>0</v>
      </c>
      <c r="J187" s="76"/>
      <c r="K187" s="82"/>
      <c r="L187" s="82"/>
    </row>
    <row r="188" spans="1:12" ht="21">
      <c r="A188" s="82">
        <v>11</v>
      </c>
      <c r="B188" s="83" t="s">
        <v>55</v>
      </c>
      <c r="C188" s="60">
        <f>216302+830</f>
        <v>217132</v>
      </c>
      <c r="D188" s="62"/>
      <c r="E188" s="62"/>
      <c r="F188" s="60">
        <v>81078.399999999994</v>
      </c>
      <c r="G188" s="67">
        <v>23820</v>
      </c>
      <c r="H188" s="63">
        <f t="shared" si="19"/>
        <v>274390.40000000002</v>
      </c>
      <c r="I188" s="62">
        <f t="shared" si="21"/>
        <v>63186.400000000023</v>
      </c>
      <c r="J188" s="76"/>
      <c r="K188" s="82"/>
      <c r="L188" s="82"/>
    </row>
    <row r="189" spans="1:12" ht="21">
      <c r="A189" s="82">
        <v>12</v>
      </c>
      <c r="B189" s="83" t="s">
        <v>61</v>
      </c>
      <c r="C189" s="60">
        <f>22806.54+1117</f>
        <v>23923.54</v>
      </c>
      <c r="D189" s="62"/>
      <c r="E189" s="62"/>
      <c r="F189" s="62"/>
      <c r="G189" s="62">
        <v>7574</v>
      </c>
      <c r="H189" s="63">
        <f t="shared" si="19"/>
        <v>16349.54</v>
      </c>
      <c r="I189" s="62">
        <f>H189-H165</f>
        <v>-6457</v>
      </c>
      <c r="J189" s="76"/>
      <c r="K189" s="82"/>
      <c r="L189" s="82"/>
    </row>
    <row r="190" spans="1:12" ht="21">
      <c r="A190" s="82">
        <v>13</v>
      </c>
      <c r="B190" s="83" t="s">
        <v>94</v>
      </c>
      <c r="C190" s="60">
        <f>966884.42+11500</f>
        <v>978384.42</v>
      </c>
      <c r="D190" s="62"/>
      <c r="E190" s="62"/>
      <c r="F190" s="62">
        <f>2120+1025+300+300+320</f>
        <v>4065</v>
      </c>
      <c r="G190" s="62">
        <v>34607.4</v>
      </c>
      <c r="H190" s="63">
        <f t="shared" si="19"/>
        <v>947842.02</v>
      </c>
      <c r="I190" s="62">
        <f t="shared" si="21"/>
        <v>-26225.400000000023</v>
      </c>
      <c r="J190" s="76">
        <v>16030</v>
      </c>
      <c r="K190" s="82"/>
      <c r="L190" s="82"/>
    </row>
    <row r="191" spans="1:12" ht="21">
      <c r="A191" s="82">
        <v>14</v>
      </c>
      <c r="B191" s="83" t="s">
        <v>95</v>
      </c>
      <c r="C191" s="74">
        <f>937313.6+1117</f>
        <v>938430.6</v>
      </c>
      <c r="D191" s="62"/>
      <c r="E191" s="62"/>
      <c r="F191" s="62">
        <v>32270</v>
      </c>
      <c r="G191" s="62">
        <v>81051</v>
      </c>
      <c r="H191" s="63">
        <f t="shared" si="19"/>
        <v>889649.6</v>
      </c>
      <c r="I191" s="62">
        <f>H191-H167</f>
        <v>-47664</v>
      </c>
      <c r="J191" s="76"/>
      <c r="K191" s="82"/>
      <c r="L191" s="82"/>
    </row>
    <row r="192" spans="1:12" ht="21">
      <c r="A192" s="82">
        <v>15</v>
      </c>
      <c r="B192" s="83" t="s">
        <v>70</v>
      </c>
      <c r="C192" s="63">
        <v>2966</v>
      </c>
      <c r="D192" s="62"/>
      <c r="E192" s="62"/>
      <c r="F192" s="62"/>
      <c r="G192" s="62"/>
      <c r="H192" s="63">
        <f t="shared" si="19"/>
        <v>2966</v>
      </c>
      <c r="I192" s="62">
        <f>H192-H168</f>
        <v>0</v>
      </c>
      <c r="J192" s="76"/>
      <c r="K192" s="82"/>
      <c r="L192" s="82"/>
    </row>
    <row r="193" spans="1:12" ht="21">
      <c r="A193" s="82">
        <v>16</v>
      </c>
      <c r="B193" s="83" t="s">
        <v>90</v>
      </c>
      <c r="C193" s="62">
        <v>25855.8</v>
      </c>
      <c r="D193" s="62"/>
      <c r="E193" s="62"/>
      <c r="F193" s="62"/>
      <c r="G193" s="62"/>
      <c r="H193" s="63">
        <f t="shared" si="19"/>
        <v>25855.8</v>
      </c>
      <c r="I193" s="62">
        <f t="shared" si="21"/>
        <v>0</v>
      </c>
      <c r="J193" s="76"/>
      <c r="K193" s="82"/>
      <c r="L193" s="82"/>
    </row>
    <row r="194" spans="1:12" ht="21">
      <c r="A194" s="82">
        <v>17</v>
      </c>
      <c r="B194" s="83" t="s">
        <v>91</v>
      </c>
      <c r="C194" s="63">
        <v>6233</v>
      </c>
      <c r="D194" s="62"/>
      <c r="E194" s="62"/>
      <c r="F194" s="62"/>
      <c r="G194" s="62"/>
      <c r="H194" s="63">
        <f t="shared" si="19"/>
        <v>6233</v>
      </c>
      <c r="I194" s="62">
        <f t="shared" si="21"/>
        <v>0</v>
      </c>
      <c r="J194" s="76"/>
      <c r="K194" s="82"/>
      <c r="L194" s="82"/>
    </row>
    <row r="195" spans="1:12" ht="26.25">
      <c r="A195" s="79"/>
      <c r="B195" s="81" t="s">
        <v>92</v>
      </c>
      <c r="C195" s="84">
        <f>SUM(C178:C194)</f>
        <v>2742127.28</v>
      </c>
      <c r="D195" s="85">
        <f t="shared" ref="D195:G195" si="22">SUM(D178:D194)</f>
        <v>0</v>
      </c>
      <c r="E195" s="85">
        <f t="shared" si="22"/>
        <v>0</v>
      </c>
      <c r="F195" s="85">
        <f t="shared" si="22"/>
        <v>125198.39999999999</v>
      </c>
      <c r="G195" s="85">
        <f t="shared" si="22"/>
        <v>149531</v>
      </c>
      <c r="H195" s="84">
        <f>SUM(H178:H194)</f>
        <v>2717794.6799999997</v>
      </c>
      <c r="I195" s="86"/>
      <c r="J195" s="78"/>
      <c r="K195" s="75"/>
      <c r="L195" s="98"/>
    </row>
    <row r="196" spans="1:12">
      <c r="C196">
        <v>10893</v>
      </c>
    </row>
    <row r="197" spans="1:12">
      <c r="A197" s="303" t="s">
        <v>107</v>
      </c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</row>
    <row r="198" spans="1:12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</row>
    <row r="199" spans="1:12" ht="19.5">
      <c r="A199" s="80" t="s">
        <v>75</v>
      </c>
      <c r="B199" s="80" t="s">
        <v>76</v>
      </c>
      <c r="C199" s="80" t="s">
        <v>77</v>
      </c>
      <c r="D199" s="80" t="s">
        <v>98</v>
      </c>
      <c r="E199" s="80" t="s">
        <v>79</v>
      </c>
      <c r="F199" s="80" t="s">
        <v>80</v>
      </c>
      <c r="G199" s="80" t="s">
        <v>57</v>
      </c>
      <c r="H199" s="80" t="s">
        <v>81</v>
      </c>
      <c r="I199" s="80" t="s">
        <v>82</v>
      </c>
      <c r="J199" s="80" t="s">
        <v>99</v>
      </c>
      <c r="K199" s="80" t="s">
        <v>47</v>
      </c>
      <c r="L199" s="80" t="s">
        <v>84</v>
      </c>
    </row>
    <row r="200" spans="1:12" ht="21">
      <c r="A200" s="82">
        <v>1</v>
      </c>
      <c r="B200" s="83" t="s">
        <v>13</v>
      </c>
      <c r="C200" s="74">
        <v>55834.1</v>
      </c>
      <c r="D200" s="62"/>
      <c r="E200" s="62"/>
      <c r="F200" s="62"/>
      <c r="G200" s="62"/>
      <c r="H200" s="63">
        <f t="shared" ref="H200:H216" si="23">C200+D200+E200+F200-G200</f>
        <v>55834.1</v>
      </c>
      <c r="I200" s="62">
        <f t="shared" ref="I200:I206" si="24">H200-H178</f>
        <v>0</v>
      </c>
      <c r="J200" s="76"/>
      <c r="K200" s="82"/>
      <c r="L200" s="82"/>
    </row>
    <row r="201" spans="1:12" ht="21">
      <c r="A201" s="82">
        <v>2</v>
      </c>
      <c r="B201" s="83" t="s">
        <v>100</v>
      </c>
      <c r="C201" s="60">
        <v>6519</v>
      </c>
      <c r="D201" s="62"/>
      <c r="E201" s="62"/>
      <c r="F201" s="62"/>
      <c r="G201" s="62"/>
      <c r="H201" s="63">
        <f t="shared" si="23"/>
        <v>6519</v>
      </c>
      <c r="I201" s="62">
        <f t="shared" si="24"/>
        <v>0</v>
      </c>
      <c r="J201" s="76"/>
      <c r="K201" s="82"/>
      <c r="L201" s="82"/>
    </row>
    <row r="202" spans="1:12" ht="21">
      <c r="A202" s="82">
        <v>3</v>
      </c>
      <c r="B202" s="83" t="s">
        <v>101</v>
      </c>
      <c r="C202" s="63">
        <v>22663</v>
      </c>
      <c r="D202" s="62"/>
      <c r="E202" s="62"/>
      <c r="F202" s="62"/>
      <c r="G202" s="62"/>
      <c r="H202" s="63">
        <f t="shared" si="23"/>
        <v>22663</v>
      </c>
      <c r="I202" s="62">
        <f t="shared" si="24"/>
        <v>0</v>
      </c>
      <c r="J202" s="76"/>
      <c r="K202" s="82"/>
      <c r="L202" s="82"/>
    </row>
    <row r="203" spans="1:12" ht="21">
      <c r="A203" s="82">
        <v>4</v>
      </c>
      <c r="B203" s="83" t="s">
        <v>48</v>
      </c>
      <c r="C203" s="64">
        <v>42944</v>
      </c>
      <c r="D203" s="62"/>
      <c r="E203" s="62"/>
      <c r="F203" s="65">
        <v>3695</v>
      </c>
      <c r="G203" s="62">
        <v>2595</v>
      </c>
      <c r="H203" s="63">
        <f t="shared" si="23"/>
        <v>44044</v>
      </c>
      <c r="I203" s="62">
        <f t="shared" si="24"/>
        <v>-2595</v>
      </c>
      <c r="J203" s="76"/>
      <c r="K203" s="82"/>
      <c r="L203" s="82"/>
    </row>
    <row r="204" spans="1:12" ht="21">
      <c r="A204" s="82">
        <v>5</v>
      </c>
      <c r="B204" s="83" t="s">
        <v>49</v>
      </c>
      <c r="C204" s="64">
        <v>54428.4</v>
      </c>
      <c r="D204" s="62"/>
      <c r="E204" s="62"/>
      <c r="F204" s="65">
        <v>3660</v>
      </c>
      <c r="G204" s="62">
        <v>5000</v>
      </c>
      <c r="H204" s="63">
        <f t="shared" si="23"/>
        <v>53088.4</v>
      </c>
      <c r="I204" s="62">
        <f t="shared" si="24"/>
        <v>-5000</v>
      </c>
      <c r="J204" s="76"/>
      <c r="K204" s="82"/>
      <c r="L204" s="82"/>
    </row>
    <row r="205" spans="1:12" ht="21">
      <c r="A205" s="82">
        <v>6</v>
      </c>
      <c r="B205" s="83" t="s">
        <v>50</v>
      </c>
      <c r="C205" s="64">
        <v>47445.79</v>
      </c>
      <c r="D205" s="62"/>
      <c r="E205" s="62"/>
      <c r="F205" s="62">
        <v>430</v>
      </c>
      <c r="G205" s="60"/>
      <c r="H205" s="63">
        <f t="shared" si="23"/>
        <v>47875.79</v>
      </c>
      <c r="I205" s="62">
        <f t="shared" si="24"/>
        <v>0</v>
      </c>
      <c r="J205" s="76"/>
      <c r="K205" s="82"/>
      <c r="L205" s="82"/>
    </row>
    <row r="206" spans="1:12" ht="21">
      <c r="A206" s="82">
        <v>7</v>
      </c>
      <c r="B206" s="83" t="s">
        <v>51</v>
      </c>
      <c r="C206" s="63">
        <f>289272+892.2</f>
        <v>290164.2</v>
      </c>
      <c r="D206" s="62"/>
      <c r="E206" s="62"/>
      <c r="F206" s="62">
        <f>950+630</f>
        <v>1580</v>
      </c>
      <c r="G206" s="62">
        <v>2478.6</v>
      </c>
      <c r="H206" s="63">
        <f t="shared" si="23"/>
        <v>289265.60000000003</v>
      </c>
      <c r="I206" s="62">
        <f t="shared" si="24"/>
        <v>1580</v>
      </c>
      <c r="J206" s="76"/>
      <c r="K206" s="77"/>
      <c r="L206" s="82"/>
    </row>
    <row r="207" spans="1:12" ht="21">
      <c r="A207" s="82">
        <v>8</v>
      </c>
      <c r="B207" s="83" t="s">
        <v>52</v>
      </c>
      <c r="C207" s="63">
        <v>5954.19</v>
      </c>
      <c r="D207" s="62"/>
      <c r="E207" s="62"/>
      <c r="F207" s="62"/>
      <c r="G207" s="62">
        <v>3032</v>
      </c>
      <c r="H207" s="63">
        <f t="shared" si="23"/>
        <v>2922.1899999999996</v>
      </c>
      <c r="I207" s="62">
        <f t="shared" ref="I207:I216" si="25">H207-H185</f>
        <v>-3032</v>
      </c>
      <c r="J207" s="76"/>
      <c r="K207" s="82"/>
      <c r="L207" s="82"/>
    </row>
    <row r="208" spans="1:12" ht="21">
      <c r="A208" s="82">
        <v>9</v>
      </c>
      <c r="B208" s="83" t="s">
        <v>54</v>
      </c>
      <c r="C208" s="66">
        <v>7544.24</v>
      </c>
      <c r="D208" s="62"/>
      <c r="E208" s="62"/>
      <c r="F208" s="62"/>
      <c r="G208" s="62">
        <v>42.2</v>
      </c>
      <c r="H208" s="63">
        <f t="shared" si="23"/>
        <v>7502.04</v>
      </c>
      <c r="I208" s="62">
        <f t="shared" si="25"/>
        <v>-42.199999999999818</v>
      </c>
      <c r="J208" s="76"/>
      <c r="K208" s="82"/>
      <c r="L208" s="82"/>
    </row>
    <row r="209" spans="1:12" ht="21">
      <c r="A209" s="82">
        <v>10</v>
      </c>
      <c r="B209" s="83" t="s">
        <v>53</v>
      </c>
      <c r="C209" s="66">
        <v>15705</v>
      </c>
      <c r="D209" s="62"/>
      <c r="E209" s="62"/>
      <c r="F209" s="62"/>
      <c r="G209" s="62"/>
      <c r="H209" s="63">
        <f t="shared" si="23"/>
        <v>15705</v>
      </c>
      <c r="I209" s="62">
        <f t="shared" si="25"/>
        <v>0</v>
      </c>
      <c r="J209" s="76"/>
      <c r="K209" s="82"/>
      <c r="L209" s="82"/>
    </row>
    <row r="210" spans="1:12" ht="21">
      <c r="A210" s="82">
        <v>11</v>
      </c>
      <c r="B210" s="83" t="s">
        <v>55</v>
      </c>
      <c r="C210" s="60">
        <f>216302+830</f>
        <v>217132</v>
      </c>
      <c r="D210" s="62"/>
      <c r="E210" s="62"/>
      <c r="F210" s="60">
        <v>161821</v>
      </c>
      <c r="G210" s="67">
        <v>23820</v>
      </c>
      <c r="H210" s="63">
        <f t="shared" si="23"/>
        <v>355133</v>
      </c>
      <c r="I210" s="62">
        <f t="shared" si="25"/>
        <v>80742.599999999977</v>
      </c>
      <c r="J210" s="76"/>
      <c r="K210" s="82"/>
      <c r="L210" s="82"/>
    </row>
    <row r="211" spans="1:12" ht="21">
      <c r="A211" s="82">
        <v>12</v>
      </c>
      <c r="B211" s="83" t="s">
        <v>61</v>
      </c>
      <c r="C211" s="60">
        <f>22806.54+1117</f>
        <v>23923.54</v>
      </c>
      <c r="D211" s="62"/>
      <c r="E211" s="62"/>
      <c r="F211" s="62"/>
      <c r="G211" s="62">
        <v>7574</v>
      </c>
      <c r="H211" s="63">
        <f t="shared" si="23"/>
        <v>16349.54</v>
      </c>
      <c r="I211" s="62">
        <f t="shared" si="25"/>
        <v>0</v>
      </c>
      <c r="J211" s="76"/>
      <c r="K211" s="82"/>
      <c r="L211" s="82"/>
    </row>
    <row r="212" spans="1:12" ht="21">
      <c r="A212" s="82">
        <v>13</v>
      </c>
      <c r="B212" s="83" t="s">
        <v>94</v>
      </c>
      <c r="C212" s="60">
        <f>966884.42+11500</f>
        <v>978384.42</v>
      </c>
      <c r="D212" s="62"/>
      <c r="E212" s="62"/>
      <c r="F212" s="62">
        <v>17273.2</v>
      </c>
      <c r="G212" s="62">
        <v>64186</v>
      </c>
      <c r="H212" s="63">
        <f t="shared" si="23"/>
        <v>931471.62</v>
      </c>
      <c r="I212" s="62">
        <f t="shared" si="25"/>
        <v>-16370.400000000023</v>
      </c>
      <c r="J212" s="76"/>
      <c r="K212" s="82"/>
      <c r="L212" s="82"/>
    </row>
    <row r="213" spans="1:12" ht="21">
      <c r="A213" s="82">
        <v>14</v>
      </c>
      <c r="B213" s="83" t="s">
        <v>95</v>
      </c>
      <c r="C213" s="74">
        <f>937313.6+1117</f>
        <v>938430.6</v>
      </c>
      <c r="D213" s="62"/>
      <c r="E213" s="62">
        <f>6438.6-589</f>
        <v>5849.6</v>
      </c>
      <c r="F213" s="62">
        <v>32270</v>
      </c>
      <c r="G213" s="62">
        <v>135940.20000000001</v>
      </c>
      <c r="H213" s="63">
        <f t="shared" si="23"/>
        <v>840610</v>
      </c>
      <c r="I213" s="62">
        <f t="shared" si="25"/>
        <v>-49039.599999999977</v>
      </c>
      <c r="J213" s="76"/>
      <c r="K213" s="82"/>
      <c r="L213" s="82"/>
    </row>
    <row r="214" spans="1:12" ht="21">
      <c r="A214" s="82">
        <v>15</v>
      </c>
      <c r="B214" s="83" t="s">
        <v>70</v>
      </c>
      <c r="C214" s="63">
        <v>3980</v>
      </c>
      <c r="D214" s="62"/>
      <c r="E214" s="62"/>
      <c r="F214" s="62"/>
      <c r="G214" s="62"/>
      <c r="H214" s="63">
        <f t="shared" si="23"/>
        <v>3980</v>
      </c>
      <c r="I214" s="62">
        <f t="shared" si="25"/>
        <v>1014</v>
      </c>
      <c r="J214" s="76"/>
      <c r="K214" s="82"/>
      <c r="L214" s="82"/>
    </row>
    <row r="215" spans="1:12" ht="21">
      <c r="A215" s="82">
        <v>16</v>
      </c>
      <c r="B215" s="83" t="s">
        <v>90</v>
      </c>
      <c r="C215" s="62">
        <v>25855.8</v>
      </c>
      <c r="D215" s="62"/>
      <c r="E215" s="62"/>
      <c r="F215" s="62"/>
      <c r="G215" s="62"/>
      <c r="H215" s="63">
        <f t="shared" si="23"/>
        <v>25855.8</v>
      </c>
      <c r="I215" s="62">
        <f t="shared" si="25"/>
        <v>0</v>
      </c>
      <c r="J215" s="76">
        <f>H213-840609.6</f>
        <v>0.40000000002328306</v>
      </c>
      <c r="K215" s="82"/>
      <c r="L215" s="82"/>
    </row>
    <row r="216" spans="1:12" ht="21">
      <c r="A216" s="82">
        <v>17</v>
      </c>
      <c r="B216" s="83" t="s">
        <v>91</v>
      </c>
      <c r="C216" s="63">
        <v>6233</v>
      </c>
      <c r="D216" s="62"/>
      <c r="E216" s="62"/>
      <c r="F216" s="62"/>
      <c r="G216" s="62"/>
      <c r="H216" s="63">
        <f t="shared" si="23"/>
        <v>6233</v>
      </c>
      <c r="I216" s="62">
        <f t="shared" si="25"/>
        <v>0</v>
      </c>
      <c r="J216" s="76"/>
      <c r="K216" s="82"/>
      <c r="L216" s="82"/>
    </row>
    <row r="217" spans="1:12" ht="26.25">
      <c r="A217" s="79"/>
      <c r="B217" s="81" t="s">
        <v>92</v>
      </c>
      <c r="C217" s="84">
        <f>SUM(C200:C216)</f>
        <v>2743141.28</v>
      </c>
      <c r="D217" s="85">
        <f t="shared" ref="D217:G217" si="26">SUM(D200:D216)</f>
        <v>0</v>
      </c>
      <c r="E217" s="85">
        <f t="shared" si="26"/>
        <v>5849.6</v>
      </c>
      <c r="F217" s="85">
        <f t="shared" si="26"/>
        <v>220729.2</v>
      </c>
      <c r="G217" s="85">
        <f t="shared" si="26"/>
        <v>244668</v>
      </c>
      <c r="H217" s="84">
        <f>SUM(H200:H216)</f>
        <v>2725052.08</v>
      </c>
      <c r="I217" s="86"/>
      <c r="J217" s="78"/>
      <c r="K217" s="75"/>
      <c r="L217" s="75"/>
    </row>
    <row r="218" spans="1:12">
      <c r="C218" s="14">
        <f>C195-C217</f>
        <v>-1014</v>
      </c>
      <c r="H218" s="14">
        <f>H195-H217</f>
        <v>-7257.4000000003725</v>
      </c>
    </row>
    <row r="219" spans="1:12">
      <c r="A219" s="303">
        <v>45877</v>
      </c>
      <c r="B219" s="303"/>
      <c r="C219" s="303"/>
      <c r="D219" s="303"/>
      <c r="E219" s="303"/>
      <c r="F219" s="303"/>
      <c r="G219" s="303"/>
      <c r="H219" s="303"/>
      <c r="I219" s="303"/>
      <c r="J219" s="303"/>
      <c r="K219" s="303"/>
      <c r="L219" s="303"/>
    </row>
    <row r="220" spans="1:12">
      <c r="A220" s="303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</row>
    <row r="221" spans="1:12" ht="19.5">
      <c r="A221" s="80" t="s">
        <v>75</v>
      </c>
      <c r="B221" s="80" t="s">
        <v>76</v>
      </c>
      <c r="C221" s="80" t="s">
        <v>77</v>
      </c>
      <c r="D221" s="80" t="s">
        <v>98</v>
      </c>
      <c r="E221" s="80" t="s">
        <v>79</v>
      </c>
      <c r="F221" s="80" t="s">
        <v>80</v>
      </c>
      <c r="G221" s="80" t="s">
        <v>57</v>
      </c>
      <c r="H221" s="80" t="s">
        <v>81</v>
      </c>
      <c r="I221" s="80" t="s">
        <v>82</v>
      </c>
      <c r="J221" s="80" t="s">
        <v>99</v>
      </c>
      <c r="K221" s="80" t="s">
        <v>47</v>
      </c>
      <c r="L221" s="80" t="s">
        <v>84</v>
      </c>
    </row>
    <row r="222" spans="1:12" ht="21">
      <c r="A222" s="82">
        <v>1</v>
      </c>
      <c r="B222" s="83" t="s">
        <v>13</v>
      </c>
      <c r="C222" s="74">
        <v>55834.1</v>
      </c>
      <c r="D222" s="62"/>
      <c r="E222" s="62"/>
      <c r="F222" s="62"/>
      <c r="G222" s="62"/>
      <c r="H222" s="63">
        <f t="shared" ref="H222:H238" si="27">C222+D222+E222+F222-G222</f>
        <v>55834.1</v>
      </c>
      <c r="I222" s="62">
        <f>H222-H200</f>
        <v>0</v>
      </c>
      <c r="J222" s="76"/>
      <c r="K222" s="82"/>
      <c r="L222" s="82"/>
    </row>
    <row r="223" spans="1:12" ht="21">
      <c r="A223" s="82">
        <v>2</v>
      </c>
      <c r="B223" s="83" t="s">
        <v>100</v>
      </c>
      <c r="C223" s="60">
        <v>6519</v>
      </c>
      <c r="D223" s="62"/>
      <c r="E223" s="62"/>
      <c r="F223" s="62"/>
      <c r="G223" s="62"/>
      <c r="H223" s="63">
        <f t="shared" si="27"/>
        <v>6519</v>
      </c>
      <c r="I223" s="62">
        <f t="shared" ref="I223:I238" si="28">H223-H201</f>
        <v>0</v>
      </c>
      <c r="J223" s="76"/>
      <c r="K223" s="82"/>
      <c r="L223" s="82"/>
    </row>
    <row r="224" spans="1:12" ht="21">
      <c r="A224" s="82">
        <v>3</v>
      </c>
      <c r="B224" s="83" t="s">
        <v>101</v>
      </c>
      <c r="C224" s="63">
        <v>22663</v>
      </c>
      <c r="D224" s="62"/>
      <c r="E224" s="62"/>
      <c r="F224" s="62"/>
      <c r="G224" s="62"/>
      <c r="H224" s="63">
        <f t="shared" si="27"/>
        <v>22663</v>
      </c>
      <c r="I224" s="62">
        <f t="shared" si="28"/>
        <v>0</v>
      </c>
      <c r="J224" s="76"/>
      <c r="K224" s="82"/>
      <c r="L224" s="82"/>
    </row>
    <row r="225" spans="1:12" ht="21">
      <c r="A225" s="82">
        <v>4</v>
      </c>
      <c r="B225" s="83" t="s">
        <v>48</v>
      </c>
      <c r="C225" s="64">
        <v>42944</v>
      </c>
      <c r="D225" s="62"/>
      <c r="E225" s="62">
        <v>2155</v>
      </c>
      <c r="F225" s="65">
        <v>3695</v>
      </c>
      <c r="G225" s="62">
        <v>2595</v>
      </c>
      <c r="H225" s="63">
        <f t="shared" si="27"/>
        <v>46199</v>
      </c>
      <c r="I225" s="62">
        <f t="shared" si="28"/>
        <v>2155</v>
      </c>
      <c r="J225" s="76"/>
      <c r="K225" s="82"/>
      <c r="L225" s="82"/>
    </row>
    <row r="226" spans="1:12" ht="21">
      <c r="A226" s="82">
        <v>5</v>
      </c>
      <c r="B226" s="83" t="s">
        <v>49</v>
      </c>
      <c r="C226" s="64">
        <v>54428.4</v>
      </c>
      <c r="D226" s="62"/>
      <c r="E226" s="62">
        <f>95+250+680+20+714+392</f>
        <v>2151</v>
      </c>
      <c r="F226" s="65">
        <v>3660</v>
      </c>
      <c r="G226" s="62">
        <v>5000</v>
      </c>
      <c r="H226" s="63">
        <f t="shared" si="27"/>
        <v>55239.4</v>
      </c>
      <c r="I226" s="62">
        <f t="shared" si="28"/>
        <v>2151</v>
      </c>
      <c r="J226" s="76"/>
      <c r="K226" s="82"/>
      <c r="L226" s="82"/>
    </row>
    <row r="227" spans="1:12" ht="21">
      <c r="A227" s="82">
        <v>6</v>
      </c>
      <c r="B227" s="83" t="s">
        <v>50</v>
      </c>
      <c r="C227" s="64">
        <v>47445.79</v>
      </c>
      <c r="D227" s="62"/>
      <c r="E227" s="62">
        <v>284</v>
      </c>
      <c r="F227" s="62">
        <v>430</v>
      </c>
      <c r="G227" s="60"/>
      <c r="H227" s="63">
        <f t="shared" si="27"/>
        <v>48159.79</v>
      </c>
      <c r="I227" s="62">
        <f t="shared" si="28"/>
        <v>284</v>
      </c>
      <c r="J227" s="76"/>
      <c r="K227" s="82"/>
      <c r="L227" s="82"/>
    </row>
    <row r="228" spans="1:12" ht="21">
      <c r="A228" s="82">
        <v>7</v>
      </c>
      <c r="B228" s="83" t="s">
        <v>51</v>
      </c>
      <c r="C228" s="63">
        <v>289272</v>
      </c>
      <c r="D228" s="62"/>
      <c r="E228" s="62">
        <v>2478</v>
      </c>
      <c r="F228" s="62">
        <f>950+630+121</f>
        <v>1701</v>
      </c>
      <c r="G228" s="62">
        <v>4065</v>
      </c>
      <c r="H228" s="63">
        <f t="shared" si="27"/>
        <v>289386</v>
      </c>
      <c r="I228" s="62">
        <f t="shared" si="28"/>
        <v>120.39999999996508</v>
      </c>
      <c r="J228" s="76"/>
      <c r="K228" s="77"/>
      <c r="L228" s="82"/>
    </row>
    <row r="229" spans="1:12" ht="21">
      <c r="A229" s="82">
        <v>8</v>
      </c>
      <c r="B229" s="83" t="s">
        <v>52</v>
      </c>
      <c r="C229" s="63">
        <v>5954.19</v>
      </c>
      <c r="D229" s="62"/>
      <c r="E229" s="62"/>
      <c r="F229" s="62"/>
      <c r="G229" s="62">
        <v>3032</v>
      </c>
      <c r="H229" s="63">
        <f t="shared" si="27"/>
        <v>2922.1899999999996</v>
      </c>
      <c r="I229" s="62">
        <f t="shared" si="28"/>
        <v>0</v>
      </c>
      <c r="J229" s="76"/>
      <c r="K229" s="82"/>
      <c r="L229" s="82"/>
    </row>
    <row r="230" spans="1:12" ht="21">
      <c r="A230" s="82">
        <v>9</v>
      </c>
      <c r="B230" s="83" t="s">
        <v>54</v>
      </c>
      <c r="C230" s="66">
        <v>7544.24</v>
      </c>
      <c r="D230" s="62"/>
      <c r="E230" s="62"/>
      <c r="F230" s="62"/>
      <c r="G230" s="62">
        <v>42.2</v>
      </c>
      <c r="H230" s="63">
        <f t="shared" si="27"/>
        <v>7502.04</v>
      </c>
      <c r="I230" s="62">
        <f t="shared" si="28"/>
        <v>0</v>
      </c>
      <c r="J230" s="76"/>
      <c r="K230" s="82"/>
      <c r="L230" s="82"/>
    </row>
    <row r="231" spans="1:12" ht="21">
      <c r="A231" s="82">
        <v>10</v>
      </c>
      <c r="B231" s="83" t="s">
        <v>53</v>
      </c>
      <c r="C231" s="66">
        <v>15705</v>
      </c>
      <c r="D231" s="62"/>
      <c r="E231" s="62"/>
      <c r="F231" s="62"/>
      <c r="G231" s="62"/>
      <c r="H231" s="63">
        <f t="shared" si="27"/>
        <v>15705</v>
      </c>
      <c r="I231" s="62">
        <f t="shared" si="28"/>
        <v>0</v>
      </c>
      <c r="J231" s="76"/>
      <c r="K231" s="82"/>
      <c r="L231" s="82"/>
    </row>
    <row r="232" spans="1:12" ht="21">
      <c r="A232" s="82">
        <v>11</v>
      </c>
      <c r="B232" s="83" t="s">
        <v>55</v>
      </c>
      <c r="C232" s="60">
        <f>216302+830</f>
        <v>217132</v>
      </c>
      <c r="D232" s="62"/>
      <c r="E232" s="62">
        <f>20506+90</f>
        <v>20596</v>
      </c>
      <c r="F232" s="60">
        <v>223391</v>
      </c>
      <c r="G232" s="67">
        <v>23820</v>
      </c>
      <c r="H232" s="63">
        <f t="shared" si="27"/>
        <v>437299</v>
      </c>
      <c r="I232" s="62">
        <f t="shared" si="28"/>
        <v>82166</v>
      </c>
      <c r="J232" s="76"/>
      <c r="K232" s="82"/>
      <c r="L232" s="82"/>
    </row>
    <row r="233" spans="1:12" ht="21">
      <c r="A233" s="82">
        <v>12</v>
      </c>
      <c r="B233" s="83" t="s">
        <v>61</v>
      </c>
      <c r="C233" s="60">
        <f>22806.54+1117</f>
        <v>23923.54</v>
      </c>
      <c r="D233" s="62"/>
      <c r="E233" s="62"/>
      <c r="F233" s="62"/>
      <c r="G233" s="62">
        <v>7574</v>
      </c>
      <c r="H233" s="63">
        <f t="shared" si="27"/>
        <v>16349.54</v>
      </c>
      <c r="I233" s="62">
        <f t="shared" si="28"/>
        <v>0</v>
      </c>
      <c r="J233" s="76"/>
      <c r="K233" s="82"/>
      <c r="L233" s="82"/>
    </row>
    <row r="234" spans="1:12" ht="21">
      <c r="A234" s="82">
        <v>13</v>
      </c>
      <c r="B234" s="83" t="s">
        <v>94</v>
      </c>
      <c r="C234" s="60">
        <f>966884.42+11500</f>
        <v>978384.42</v>
      </c>
      <c r="D234" s="62"/>
      <c r="E234" s="62">
        <v>210</v>
      </c>
      <c r="F234" s="62">
        <v>17305</v>
      </c>
      <c r="G234" s="62">
        <v>93098.8</v>
      </c>
      <c r="H234" s="63">
        <f t="shared" si="27"/>
        <v>902800.62</v>
      </c>
      <c r="I234" s="62">
        <f t="shared" si="28"/>
        <v>-28671</v>
      </c>
      <c r="J234" s="76"/>
      <c r="K234" s="89"/>
      <c r="L234" s="82"/>
    </row>
    <row r="235" spans="1:12" ht="21">
      <c r="A235" s="82">
        <v>14</v>
      </c>
      <c r="B235" s="83" t="s">
        <v>95</v>
      </c>
      <c r="C235" s="74">
        <v>934148.46</v>
      </c>
      <c r="D235" s="62"/>
      <c r="E235" s="62">
        <f>2053+3590</f>
        <v>5643</v>
      </c>
      <c r="F235" s="62">
        <v>32240.6</v>
      </c>
      <c r="G235" s="62">
        <v>199880</v>
      </c>
      <c r="H235" s="63">
        <f t="shared" si="27"/>
        <v>772152.05999999994</v>
      </c>
      <c r="I235" s="62">
        <f t="shared" si="28"/>
        <v>-68457.940000000061</v>
      </c>
      <c r="J235" s="76">
        <f>H235-772152.26</f>
        <v>-0.20000000006984919</v>
      </c>
      <c r="K235" s="82"/>
      <c r="L235" s="82"/>
    </row>
    <row r="236" spans="1:12" ht="21">
      <c r="A236" s="82">
        <v>15</v>
      </c>
      <c r="B236" s="83" t="s">
        <v>70</v>
      </c>
      <c r="C236" s="63">
        <v>8287</v>
      </c>
      <c r="D236" s="62"/>
      <c r="E236" s="62"/>
      <c r="F236" s="62"/>
      <c r="G236" s="62"/>
      <c r="H236" s="63">
        <f t="shared" si="27"/>
        <v>8287</v>
      </c>
      <c r="I236" s="62">
        <f t="shared" si="28"/>
        <v>4307</v>
      </c>
      <c r="J236" s="76"/>
      <c r="K236" s="82"/>
      <c r="L236" s="82"/>
    </row>
    <row r="237" spans="1:12" ht="21">
      <c r="A237" s="82">
        <v>16</v>
      </c>
      <c r="B237" s="83" t="s">
        <v>90</v>
      </c>
      <c r="C237" s="62">
        <v>25855.8</v>
      </c>
      <c r="D237" s="62"/>
      <c r="E237" s="62"/>
      <c r="F237" s="62"/>
      <c r="G237" s="62"/>
      <c r="H237" s="63">
        <f t="shared" si="27"/>
        <v>25855.8</v>
      </c>
      <c r="I237" s="62">
        <f t="shared" si="28"/>
        <v>0</v>
      </c>
      <c r="J237" s="76">
        <f>H235-840609.6</f>
        <v>-68457.540000000037</v>
      </c>
      <c r="K237" s="82"/>
      <c r="L237" s="82"/>
    </row>
    <row r="238" spans="1:12" ht="21">
      <c r="A238" s="82">
        <v>17</v>
      </c>
      <c r="B238" s="83" t="s">
        <v>91</v>
      </c>
      <c r="C238" s="63">
        <v>6233</v>
      </c>
      <c r="D238" s="62"/>
      <c r="E238" s="62"/>
      <c r="F238" s="62"/>
      <c r="G238" s="62"/>
      <c r="H238" s="63">
        <f t="shared" si="27"/>
        <v>6233</v>
      </c>
      <c r="I238" s="62">
        <f t="shared" si="28"/>
        <v>0</v>
      </c>
      <c r="J238" s="76"/>
      <c r="K238" s="82"/>
      <c r="L238" s="82"/>
    </row>
    <row r="239" spans="1:12" ht="26.25">
      <c r="A239" s="79"/>
      <c r="B239" s="81" t="s">
        <v>92</v>
      </c>
      <c r="C239" s="84">
        <f>SUM(C222:C238)</f>
        <v>2742273.94</v>
      </c>
      <c r="D239" s="85">
        <f t="shared" ref="D239:G239" si="29">SUM(D222:D238)</f>
        <v>0</v>
      </c>
      <c r="E239" s="85">
        <f t="shared" si="29"/>
        <v>33517</v>
      </c>
      <c r="F239" s="85">
        <f t="shared" si="29"/>
        <v>282422.59999999998</v>
      </c>
      <c r="G239" s="85">
        <f t="shared" si="29"/>
        <v>339107</v>
      </c>
      <c r="H239" s="84">
        <f>SUM(H222:H238)</f>
        <v>2719106.54</v>
      </c>
      <c r="I239" s="86">
        <f>SUM(I222:I238)</f>
        <v>-5945.5400000000955</v>
      </c>
      <c r="J239" s="78"/>
      <c r="K239" s="75"/>
      <c r="L239" s="75"/>
    </row>
    <row r="240" spans="1:12">
      <c r="C240" s="14">
        <f>C217-C239</f>
        <v>867.33999999985099</v>
      </c>
    </row>
    <row r="242" spans="1:13">
      <c r="A242" s="303">
        <v>45883</v>
      </c>
      <c r="B242" s="303"/>
      <c r="C242" s="303"/>
      <c r="D242" s="303"/>
      <c r="E242" s="303"/>
      <c r="F242" s="303"/>
      <c r="G242" s="303"/>
      <c r="H242" s="303"/>
      <c r="I242" s="303"/>
      <c r="J242" s="303"/>
      <c r="K242" s="303"/>
      <c r="L242" s="303"/>
    </row>
    <row r="243" spans="1:13">
      <c r="A243" s="303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</row>
    <row r="244" spans="1:13" ht="19.5">
      <c r="A244" s="80" t="s">
        <v>75</v>
      </c>
      <c r="B244" s="80" t="s">
        <v>76</v>
      </c>
      <c r="C244" s="80" t="s">
        <v>77</v>
      </c>
      <c r="D244" s="80" t="s">
        <v>98</v>
      </c>
      <c r="E244" s="80" t="s">
        <v>79</v>
      </c>
      <c r="F244" s="80" t="s">
        <v>80</v>
      </c>
      <c r="G244" s="80" t="s">
        <v>57</v>
      </c>
      <c r="H244" s="80" t="s">
        <v>81</v>
      </c>
      <c r="I244" s="80" t="s">
        <v>82</v>
      </c>
      <c r="J244" s="80" t="s">
        <v>99</v>
      </c>
      <c r="K244" s="80" t="s">
        <v>47</v>
      </c>
      <c r="L244" s="80" t="s">
        <v>84</v>
      </c>
    </row>
    <row r="245" spans="1:13" ht="21">
      <c r="A245" s="82">
        <v>1</v>
      </c>
      <c r="B245" s="83" t="s">
        <v>13</v>
      </c>
      <c r="C245" s="74">
        <v>55834.1</v>
      </c>
      <c r="D245" s="62"/>
      <c r="E245" s="62"/>
      <c r="F245" s="62"/>
      <c r="G245" s="62"/>
      <c r="H245" s="63">
        <f t="shared" ref="H245:H261" si="30">C245+D245+E245+F245-G245</f>
        <v>55834.1</v>
      </c>
      <c r="I245" s="62">
        <f>H245-H222</f>
        <v>0</v>
      </c>
      <c r="J245" s="76"/>
      <c r="K245" s="82"/>
      <c r="L245" s="82"/>
    </row>
    <row r="246" spans="1:13" ht="21">
      <c r="A246" s="82">
        <v>2</v>
      </c>
      <c r="B246" s="83" t="s">
        <v>100</v>
      </c>
      <c r="C246" s="60">
        <v>6519</v>
      </c>
      <c r="D246" s="62"/>
      <c r="E246" s="62"/>
      <c r="F246" s="62"/>
      <c r="G246" s="62"/>
      <c r="H246" s="63">
        <f t="shared" si="30"/>
        <v>6519</v>
      </c>
      <c r="I246" s="62">
        <f>H246-H223</f>
        <v>0</v>
      </c>
      <c r="J246" s="76"/>
      <c r="K246" s="82"/>
      <c r="L246" s="82"/>
    </row>
    <row r="247" spans="1:13" ht="21">
      <c r="A247" s="82">
        <v>3</v>
      </c>
      <c r="B247" s="83" t="s">
        <v>101</v>
      </c>
      <c r="C247" s="63">
        <v>17353</v>
      </c>
      <c r="D247" s="62"/>
      <c r="E247" s="62"/>
      <c r="F247" s="62">
        <v>9426</v>
      </c>
      <c r="G247" s="62"/>
      <c r="H247" s="63">
        <f t="shared" si="30"/>
        <v>26779</v>
      </c>
      <c r="I247" s="62"/>
      <c r="J247" s="76"/>
      <c r="K247" s="82"/>
      <c r="L247" s="82"/>
    </row>
    <row r="248" spans="1:13" ht="21">
      <c r="A248" s="82">
        <v>4</v>
      </c>
      <c r="B248" s="83" t="s">
        <v>48</v>
      </c>
      <c r="C248" s="64">
        <v>42944</v>
      </c>
      <c r="D248" s="62"/>
      <c r="E248" s="62">
        <v>2155</v>
      </c>
      <c r="F248" s="65">
        <v>3695</v>
      </c>
      <c r="G248" s="62">
        <v>2595</v>
      </c>
      <c r="H248" s="63">
        <f t="shared" si="30"/>
        <v>46199</v>
      </c>
      <c r="I248" s="62">
        <f t="shared" ref="I248:I261" si="31">H248-H225</f>
        <v>0</v>
      </c>
      <c r="J248" s="76"/>
      <c r="K248" s="82"/>
      <c r="L248" s="82"/>
    </row>
    <row r="249" spans="1:13" ht="21">
      <c r="A249" s="82">
        <v>5</v>
      </c>
      <c r="B249" s="83" t="s">
        <v>49</v>
      </c>
      <c r="C249" s="64">
        <v>54428.4</v>
      </c>
      <c r="D249" s="62"/>
      <c r="E249" s="62">
        <f>95+250+680+20+714+392</f>
        <v>2151</v>
      </c>
      <c r="F249" s="65">
        <v>3660</v>
      </c>
      <c r="G249" s="62">
        <v>10155</v>
      </c>
      <c r="H249" s="63">
        <f t="shared" si="30"/>
        <v>50084.4</v>
      </c>
      <c r="I249" s="62">
        <f>H249-H226</f>
        <v>-5155</v>
      </c>
      <c r="J249" s="76"/>
      <c r="K249" s="82"/>
      <c r="L249" s="82"/>
    </row>
    <row r="250" spans="1:13" ht="21">
      <c r="A250" s="82">
        <v>6</v>
      </c>
      <c r="B250" s="83" t="s">
        <v>50</v>
      </c>
      <c r="C250" s="64">
        <v>47445.79</v>
      </c>
      <c r="D250" s="62"/>
      <c r="E250" s="62">
        <v>284</v>
      </c>
      <c r="F250" s="62">
        <v>430</v>
      </c>
      <c r="G250" s="60"/>
      <c r="H250" s="63">
        <f t="shared" si="30"/>
        <v>48159.79</v>
      </c>
      <c r="I250" s="62">
        <f t="shared" si="31"/>
        <v>0</v>
      </c>
      <c r="J250" s="76"/>
      <c r="K250" s="82"/>
      <c r="L250" s="82"/>
    </row>
    <row r="251" spans="1:13" ht="21">
      <c r="A251" s="82">
        <v>7</v>
      </c>
      <c r="B251" s="83" t="s">
        <v>51</v>
      </c>
      <c r="C251" s="63">
        <v>289272</v>
      </c>
      <c r="D251" s="62"/>
      <c r="E251" s="62">
        <v>2478</v>
      </c>
      <c r="F251" s="62">
        <f>950+630+121</f>
        <v>1701</v>
      </c>
      <c r="G251" s="62">
        <v>4065</v>
      </c>
      <c r="H251" s="63">
        <f t="shared" si="30"/>
        <v>289386</v>
      </c>
      <c r="I251" s="62">
        <f t="shared" si="31"/>
        <v>0</v>
      </c>
      <c r="J251" s="76"/>
      <c r="K251" s="77"/>
      <c r="L251" s="82"/>
      <c r="M251" s="14"/>
    </row>
    <row r="252" spans="1:13" ht="21">
      <c r="A252" s="82">
        <v>8</v>
      </c>
      <c r="B252" s="83" t="s">
        <v>52</v>
      </c>
      <c r="C252" s="63">
        <v>5954.19</v>
      </c>
      <c r="D252" s="62"/>
      <c r="E252" s="62"/>
      <c r="F252" s="62"/>
      <c r="G252" s="62">
        <v>3032</v>
      </c>
      <c r="H252" s="63">
        <f t="shared" si="30"/>
        <v>2922.1899999999996</v>
      </c>
      <c r="I252" s="62">
        <f t="shared" si="31"/>
        <v>0</v>
      </c>
      <c r="J252" s="76"/>
      <c r="K252" s="82"/>
      <c r="L252" s="82"/>
    </row>
    <row r="253" spans="1:13" ht="21">
      <c r="A253" s="82">
        <v>9</v>
      </c>
      <c r="B253" s="83" t="s">
        <v>54</v>
      </c>
      <c r="C253" s="66">
        <v>7544.24</v>
      </c>
      <c r="D253" s="62"/>
      <c r="E253" s="62"/>
      <c r="F253" s="62"/>
      <c r="G253" s="62">
        <v>42.2</v>
      </c>
      <c r="H253" s="63">
        <f t="shared" si="30"/>
        <v>7502.04</v>
      </c>
      <c r="I253" s="62">
        <f t="shared" si="31"/>
        <v>0</v>
      </c>
      <c r="J253" s="76"/>
      <c r="K253" s="82"/>
      <c r="L253" s="82"/>
    </row>
    <row r="254" spans="1:13" ht="21">
      <c r="A254" s="82">
        <v>10</v>
      </c>
      <c r="B254" s="83" t="s">
        <v>53</v>
      </c>
      <c r="C254" s="66">
        <v>15705</v>
      </c>
      <c r="D254" s="62"/>
      <c r="E254" s="62"/>
      <c r="F254" s="62"/>
      <c r="G254" s="62"/>
      <c r="H254" s="63">
        <f t="shared" si="30"/>
        <v>15705</v>
      </c>
      <c r="I254" s="62">
        <f t="shared" si="31"/>
        <v>0</v>
      </c>
      <c r="J254" s="76"/>
      <c r="K254" s="82"/>
      <c r="L254" s="82"/>
    </row>
    <row r="255" spans="1:13" ht="21">
      <c r="A255" s="82">
        <v>11</v>
      </c>
      <c r="B255" s="83" t="s">
        <v>55</v>
      </c>
      <c r="C255" s="60">
        <v>216392</v>
      </c>
      <c r="D255" s="62"/>
      <c r="E255" s="62">
        <f>20616+851</f>
        <v>21467</v>
      </c>
      <c r="F255" s="60">
        <v>295114.59999999998</v>
      </c>
      <c r="G255" s="67">
        <v>23820</v>
      </c>
      <c r="H255" s="63">
        <f t="shared" si="30"/>
        <v>509153.6</v>
      </c>
      <c r="I255" s="62">
        <f t="shared" si="31"/>
        <v>71854.599999999977</v>
      </c>
      <c r="J255" s="76"/>
      <c r="K255" s="82"/>
      <c r="L255" s="82"/>
    </row>
    <row r="256" spans="1:13" ht="21">
      <c r="A256" s="82">
        <v>12</v>
      </c>
      <c r="B256" s="83" t="s">
        <v>61</v>
      </c>
      <c r="C256" s="60">
        <f>22806.54+1117</f>
        <v>23923.54</v>
      </c>
      <c r="D256" s="62"/>
      <c r="E256" s="62"/>
      <c r="F256" s="62"/>
      <c r="G256" s="62">
        <f>11432.33+526.6</f>
        <v>11958.93</v>
      </c>
      <c r="H256" s="63">
        <f t="shared" si="30"/>
        <v>11964.61</v>
      </c>
      <c r="I256" s="62">
        <f t="shared" si="31"/>
        <v>-4384.93</v>
      </c>
      <c r="J256" s="76"/>
      <c r="K256" s="77">
        <f>H256-11964.61</f>
        <v>0</v>
      </c>
      <c r="L256" s="82"/>
    </row>
    <row r="257" spans="1:12" ht="21">
      <c r="A257" s="82">
        <v>13</v>
      </c>
      <c r="B257" s="83" t="s">
        <v>94</v>
      </c>
      <c r="C257" s="60">
        <v>966884.42</v>
      </c>
      <c r="D257" s="62">
        <v>11792</v>
      </c>
      <c r="E257" s="62">
        <f>45+592+485+31+30+34+310+480</f>
        <v>2007</v>
      </c>
      <c r="F257" s="62">
        <v>17305</v>
      </c>
      <c r="G257" s="62">
        <v>116921.4</v>
      </c>
      <c r="H257" s="63">
        <f t="shared" si="30"/>
        <v>881067.02</v>
      </c>
      <c r="I257" s="62">
        <f t="shared" si="31"/>
        <v>-21733.599999999977</v>
      </c>
      <c r="J257" s="76"/>
      <c r="K257" s="89"/>
      <c r="L257" s="82"/>
    </row>
    <row r="258" spans="1:12" ht="21">
      <c r="A258" s="82">
        <v>14</v>
      </c>
      <c r="B258" s="83" t="s">
        <v>95</v>
      </c>
      <c r="C258" s="74">
        <v>934148.46</v>
      </c>
      <c r="D258" s="62">
        <v>3790</v>
      </c>
      <c r="E258" s="62">
        <v>12654</v>
      </c>
      <c r="F258" s="62">
        <v>31247.599999999999</v>
      </c>
      <c r="G258" s="62">
        <v>258551.6</v>
      </c>
      <c r="H258" s="63">
        <f t="shared" si="30"/>
        <v>723288.46</v>
      </c>
      <c r="I258" s="62">
        <f t="shared" si="31"/>
        <v>-48863.599999999977</v>
      </c>
      <c r="J258" s="76"/>
      <c r="K258" s="82"/>
      <c r="L258" s="82"/>
    </row>
    <row r="259" spans="1:12" ht="21">
      <c r="A259" s="82">
        <v>15</v>
      </c>
      <c r="B259" s="83" t="s">
        <v>70</v>
      </c>
      <c r="C259" s="63">
        <v>8287</v>
      </c>
      <c r="D259" s="62"/>
      <c r="E259" s="62"/>
      <c r="F259" s="62"/>
      <c r="G259" s="62"/>
      <c r="H259" s="63">
        <f t="shared" si="30"/>
        <v>8287</v>
      </c>
      <c r="I259" s="62">
        <f t="shared" si="31"/>
        <v>0</v>
      </c>
      <c r="J259" s="76"/>
      <c r="K259" s="82"/>
      <c r="L259" s="82"/>
    </row>
    <row r="260" spans="1:12" ht="21">
      <c r="A260" s="82">
        <v>16</v>
      </c>
      <c r="B260" s="83" t="s">
        <v>90</v>
      </c>
      <c r="C260" s="62">
        <v>25855.8</v>
      </c>
      <c r="D260" s="62"/>
      <c r="E260" s="62"/>
      <c r="F260" s="62"/>
      <c r="G260" s="62"/>
      <c r="H260" s="63">
        <f t="shared" si="30"/>
        <v>25855.8</v>
      </c>
      <c r="I260" s="62">
        <f t="shared" si="31"/>
        <v>0</v>
      </c>
      <c r="J260" s="76"/>
      <c r="K260" s="82"/>
      <c r="L260" s="82"/>
    </row>
    <row r="261" spans="1:12" ht="21">
      <c r="A261" s="82">
        <v>17</v>
      </c>
      <c r="B261" s="83" t="s">
        <v>91</v>
      </c>
      <c r="C261" s="63">
        <v>6233</v>
      </c>
      <c r="D261" s="62"/>
      <c r="E261" s="62"/>
      <c r="F261" s="62"/>
      <c r="G261" s="62"/>
      <c r="H261" s="63">
        <f t="shared" si="30"/>
        <v>6233</v>
      </c>
      <c r="I261" s="62">
        <f t="shared" si="31"/>
        <v>0</v>
      </c>
      <c r="J261" s="76"/>
      <c r="K261" s="82"/>
      <c r="L261" s="82"/>
    </row>
    <row r="262" spans="1:12" ht="26.25">
      <c r="A262" s="79"/>
      <c r="B262" s="81" t="s">
        <v>92</v>
      </c>
      <c r="C262" s="84">
        <f>SUM(C245:C261)</f>
        <v>2724723.94</v>
      </c>
      <c r="D262" s="85">
        <f t="shared" ref="D262:G262" si="32">SUM(D245:D261)</f>
        <v>15582</v>
      </c>
      <c r="E262" s="85">
        <f t="shared" si="32"/>
        <v>43196</v>
      </c>
      <c r="F262" s="85">
        <f t="shared" si="32"/>
        <v>362579.19999999995</v>
      </c>
      <c r="G262" s="85">
        <f t="shared" si="32"/>
        <v>431141.13</v>
      </c>
      <c r="H262" s="84">
        <f>SUM(H245:H261)</f>
        <v>2714940.01</v>
      </c>
      <c r="I262" s="62">
        <f>H262-H239</f>
        <v>-4166.5300000002608</v>
      </c>
      <c r="J262" s="78"/>
      <c r="K262" s="75"/>
      <c r="L262" s="75"/>
    </row>
    <row r="263" spans="1:12" ht="26.25">
      <c r="A263" s="91"/>
      <c r="B263" s="92"/>
      <c r="C263" s="93">
        <f>C239-C262</f>
        <v>17550</v>
      </c>
      <c r="D263" s="94"/>
      <c r="E263" s="94"/>
      <c r="F263" s="94"/>
      <c r="G263" s="94"/>
      <c r="H263" s="93"/>
      <c r="I263" s="95"/>
      <c r="J263" s="96"/>
      <c r="K263" s="97"/>
      <c r="L263" s="97"/>
    </row>
    <row r="264" spans="1:12">
      <c r="H264" s="14"/>
    </row>
    <row r="265" spans="1:12">
      <c r="A265" s="303">
        <v>45890</v>
      </c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</row>
    <row r="266" spans="1:12">
      <c r="A266" s="303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</row>
    <row r="267" spans="1:12" ht="19.5">
      <c r="A267" s="80" t="s">
        <v>75</v>
      </c>
      <c r="B267" s="80" t="s">
        <v>76</v>
      </c>
      <c r="C267" s="80" t="s">
        <v>77</v>
      </c>
      <c r="D267" s="80" t="s">
        <v>98</v>
      </c>
      <c r="E267" s="80" t="s">
        <v>79</v>
      </c>
      <c r="F267" s="80" t="s">
        <v>80</v>
      </c>
      <c r="G267" s="80" t="s">
        <v>57</v>
      </c>
      <c r="H267" s="80" t="s">
        <v>81</v>
      </c>
      <c r="I267" s="80" t="s">
        <v>82</v>
      </c>
      <c r="J267" s="80" t="s">
        <v>99</v>
      </c>
      <c r="K267" s="80" t="s">
        <v>47</v>
      </c>
      <c r="L267" s="80" t="s">
        <v>84</v>
      </c>
    </row>
    <row r="268" spans="1:12" ht="21">
      <c r="A268" s="82">
        <v>1</v>
      </c>
      <c r="B268" s="83" t="s">
        <v>13</v>
      </c>
      <c r="C268" s="74">
        <v>55834.1</v>
      </c>
      <c r="D268" s="62"/>
      <c r="E268" s="62"/>
      <c r="F268" s="62"/>
      <c r="G268" s="62">
        <v>11899.15</v>
      </c>
      <c r="H268" s="63">
        <f t="shared" ref="H268:H284" si="33">C268+D268+E268+F268-G268</f>
        <v>43934.95</v>
      </c>
      <c r="I268" s="62">
        <f>H268-H245</f>
        <v>-11899.150000000001</v>
      </c>
      <c r="J268" s="76"/>
      <c r="K268" s="82"/>
      <c r="L268" s="82"/>
    </row>
    <row r="269" spans="1:12" ht="21">
      <c r="A269" s="82">
        <v>2</v>
      </c>
      <c r="B269" s="83" t="s">
        <v>100</v>
      </c>
      <c r="C269" s="60">
        <v>6519</v>
      </c>
      <c r="D269" s="62"/>
      <c r="E269" s="62"/>
      <c r="F269" s="62"/>
      <c r="G269" s="62"/>
      <c r="H269" s="63">
        <f t="shared" si="33"/>
        <v>6519</v>
      </c>
      <c r="I269" s="62">
        <f t="shared" ref="I269:I284" si="34">H269-H246</f>
        <v>0</v>
      </c>
      <c r="J269" s="76"/>
      <c r="K269" s="82"/>
      <c r="L269" s="82"/>
    </row>
    <row r="270" spans="1:12" ht="21">
      <c r="A270" s="82">
        <v>3</v>
      </c>
      <c r="B270" s="83" t="s">
        <v>101</v>
      </c>
      <c r="C270" s="63">
        <v>17353</v>
      </c>
      <c r="D270" s="62"/>
      <c r="E270" s="62"/>
      <c r="F270" s="62">
        <v>27670</v>
      </c>
      <c r="G270" s="62"/>
      <c r="H270" s="63">
        <f t="shared" si="33"/>
        <v>45023</v>
      </c>
      <c r="I270" s="62">
        <f t="shared" si="34"/>
        <v>18244</v>
      </c>
      <c r="J270" s="76"/>
      <c r="K270" s="82"/>
      <c r="L270" s="82"/>
    </row>
    <row r="271" spans="1:12" ht="21">
      <c r="A271" s="82">
        <v>4</v>
      </c>
      <c r="B271" s="83" t="s">
        <v>48</v>
      </c>
      <c r="C271" s="64">
        <v>42944</v>
      </c>
      <c r="D271" s="62"/>
      <c r="E271" s="62">
        <v>2155</v>
      </c>
      <c r="F271" s="65">
        <v>3695</v>
      </c>
      <c r="G271" s="62">
        <v>2595</v>
      </c>
      <c r="H271" s="63">
        <f t="shared" si="33"/>
        <v>46199</v>
      </c>
      <c r="I271" s="62">
        <f t="shared" si="34"/>
        <v>0</v>
      </c>
      <c r="J271" s="76"/>
      <c r="K271" s="82"/>
      <c r="L271" s="82"/>
    </row>
    <row r="272" spans="1:12" ht="21">
      <c r="A272" s="82">
        <v>5</v>
      </c>
      <c r="B272" s="83" t="s">
        <v>49</v>
      </c>
      <c r="C272" s="64">
        <v>54428.4</v>
      </c>
      <c r="D272" s="62"/>
      <c r="E272" s="62">
        <v>1417</v>
      </c>
      <c r="F272" s="65">
        <v>3660</v>
      </c>
      <c r="G272" s="62">
        <v>10155</v>
      </c>
      <c r="H272" s="63">
        <f t="shared" si="33"/>
        <v>49350.400000000001</v>
      </c>
      <c r="I272" s="62">
        <f t="shared" si="34"/>
        <v>-734</v>
      </c>
      <c r="J272" s="76"/>
      <c r="K272" s="82"/>
      <c r="L272" s="82"/>
    </row>
    <row r="273" spans="1:12" ht="21">
      <c r="A273" s="82">
        <v>6</v>
      </c>
      <c r="B273" s="83" t="s">
        <v>50</v>
      </c>
      <c r="C273" s="64">
        <v>47445.79</v>
      </c>
      <c r="D273" s="62"/>
      <c r="E273" s="62">
        <v>284</v>
      </c>
      <c r="F273" s="62">
        <v>430</v>
      </c>
      <c r="G273" s="60"/>
      <c r="H273" s="63">
        <f t="shared" si="33"/>
        <v>48159.79</v>
      </c>
      <c r="I273" s="62">
        <f t="shared" si="34"/>
        <v>0</v>
      </c>
      <c r="J273" s="76"/>
      <c r="K273" s="82"/>
      <c r="L273" s="82"/>
    </row>
    <row r="274" spans="1:12" ht="21">
      <c r="A274" s="82">
        <v>7</v>
      </c>
      <c r="B274" s="83" t="s">
        <v>51</v>
      </c>
      <c r="C274" s="63">
        <v>289272</v>
      </c>
      <c r="D274" s="62"/>
      <c r="E274" s="62"/>
      <c r="F274" s="62"/>
      <c r="G274" s="62"/>
      <c r="H274" s="63">
        <f t="shared" si="33"/>
        <v>289272</v>
      </c>
      <c r="I274" s="62">
        <f t="shared" si="34"/>
        <v>-114</v>
      </c>
      <c r="J274" s="76"/>
      <c r="K274" s="77"/>
      <c r="L274" s="82"/>
    </row>
    <row r="275" spans="1:12" ht="21">
      <c r="A275" s="82">
        <v>8</v>
      </c>
      <c r="B275" s="83" t="s">
        <v>52</v>
      </c>
      <c r="C275" s="63">
        <v>5954.19</v>
      </c>
      <c r="D275" s="62"/>
      <c r="E275" s="62"/>
      <c r="F275" s="62"/>
      <c r="G275" s="62">
        <v>3032</v>
      </c>
      <c r="H275" s="63">
        <f t="shared" si="33"/>
        <v>2922.1899999999996</v>
      </c>
      <c r="I275" s="62">
        <f t="shared" si="34"/>
        <v>0</v>
      </c>
      <c r="J275" s="76"/>
      <c r="K275" s="82"/>
      <c r="L275" s="82"/>
    </row>
    <row r="276" spans="1:12" ht="21">
      <c r="A276" s="82">
        <v>9</v>
      </c>
      <c r="B276" s="83" t="s">
        <v>54</v>
      </c>
      <c r="C276" s="66">
        <v>7544.24</v>
      </c>
      <c r="D276" s="62"/>
      <c r="E276" s="62"/>
      <c r="F276" s="62"/>
      <c r="G276" s="62">
        <v>42.2</v>
      </c>
      <c r="H276" s="63">
        <f t="shared" si="33"/>
        <v>7502.04</v>
      </c>
      <c r="I276" s="62">
        <f t="shared" si="34"/>
        <v>0</v>
      </c>
      <c r="J276" s="76"/>
      <c r="K276" s="82"/>
      <c r="L276" s="82"/>
    </row>
    <row r="277" spans="1:12" ht="21">
      <c r="A277" s="82">
        <v>10</v>
      </c>
      <c r="B277" s="83" t="s">
        <v>53</v>
      </c>
      <c r="C277" s="66">
        <v>15705</v>
      </c>
      <c r="D277" s="62"/>
      <c r="E277" s="62"/>
      <c r="F277" s="62">
        <v>4265</v>
      </c>
      <c r="G277" s="62"/>
      <c r="H277" s="63">
        <f t="shared" si="33"/>
        <v>19970</v>
      </c>
      <c r="I277" s="62">
        <f t="shared" si="34"/>
        <v>4265</v>
      </c>
      <c r="J277" s="76"/>
      <c r="K277" s="82"/>
      <c r="L277" s="82"/>
    </row>
    <row r="278" spans="1:12" ht="21">
      <c r="A278" s="82">
        <v>11</v>
      </c>
      <c r="B278" s="83" t="s">
        <v>55</v>
      </c>
      <c r="C278" s="60">
        <v>216392</v>
      </c>
      <c r="D278" s="62"/>
      <c r="E278" s="62">
        <v>20124</v>
      </c>
      <c r="F278" s="60">
        <v>328997.2</v>
      </c>
      <c r="G278" s="67">
        <v>31445</v>
      </c>
      <c r="H278" s="63">
        <f t="shared" si="33"/>
        <v>534068.19999999995</v>
      </c>
      <c r="I278" s="62">
        <f t="shared" si="34"/>
        <v>24914.599999999977</v>
      </c>
      <c r="J278" s="76"/>
      <c r="K278" s="82"/>
      <c r="L278" s="82"/>
    </row>
    <row r="279" spans="1:12" ht="21">
      <c r="A279" s="82">
        <v>12</v>
      </c>
      <c r="B279" s="83" t="s">
        <v>61</v>
      </c>
      <c r="C279" s="60">
        <f>22806.54+1117</f>
        <v>23923.54</v>
      </c>
      <c r="D279" s="62"/>
      <c r="E279" s="62"/>
      <c r="F279" s="62"/>
      <c r="G279" s="62">
        <v>11432.33</v>
      </c>
      <c r="H279" s="63">
        <f t="shared" si="33"/>
        <v>12491.210000000001</v>
      </c>
      <c r="I279" s="62">
        <f t="shared" si="34"/>
        <v>526.60000000000036</v>
      </c>
      <c r="J279" s="76"/>
      <c r="K279" s="77">
        <f>H279-11964.61</f>
        <v>526.60000000000036</v>
      </c>
      <c r="L279" s="82"/>
    </row>
    <row r="280" spans="1:12" ht="21">
      <c r="A280" s="82">
        <v>13</v>
      </c>
      <c r="B280" s="83" t="s">
        <v>94</v>
      </c>
      <c r="C280" s="60">
        <v>966884.42</v>
      </c>
      <c r="D280" s="62"/>
      <c r="E280" s="62">
        <v>620</v>
      </c>
      <c r="F280" s="62">
        <v>21307</v>
      </c>
      <c r="G280" s="62">
        <v>133008.4</v>
      </c>
      <c r="H280" s="63">
        <f t="shared" si="33"/>
        <v>855803.02</v>
      </c>
      <c r="I280" s="62">
        <f t="shared" si="34"/>
        <v>-25264</v>
      </c>
      <c r="J280" s="76"/>
      <c r="K280" s="89"/>
      <c r="L280" s="82"/>
    </row>
    <row r="281" spans="1:12" ht="21">
      <c r="A281" s="82">
        <v>14</v>
      </c>
      <c r="B281" s="83" t="s">
        <v>95</v>
      </c>
      <c r="C281" s="74">
        <v>934148.46</v>
      </c>
      <c r="D281" s="62"/>
      <c r="E281" s="62">
        <v>12654</v>
      </c>
      <c r="F281" s="62">
        <v>45447.6</v>
      </c>
      <c r="G281" s="62">
        <v>288116.2</v>
      </c>
      <c r="H281" s="63">
        <f t="shared" si="33"/>
        <v>704133.85999999987</v>
      </c>
      <c r="I281" s="62">
        <f t="shared" si="34"/>
        <v>-19154.600000000093</v>
      </c>
      <c r="J281" s="76"/>
      <c r="K281" s="82"/>
      <c r="L281" s="82"/>
    </row>
    <row r="282" spans="1:12" ht="21">
      <c r="A282" s="82">
        <v>15</v>
      </c>
      <c r="B282" s="83" t="s">
        <v>70</v>
      </c>
      <c r="C282" s="63">
        <v>8287</v>
      </c>
      <c r="D282" s="62"/>
      <c r="E282" s="62"/>
      <c r="F282" s="62">
        <v>8287</v>
      </c>
      <c r="G282" s="62"/>
      <c r="H282" s="63">
        <f t="shared" si="33"/>
        <v>16574</v>
      </c>
      <c r="I282" s="62">
        <f t="shared" si="34"/>
        <v>8287</v>
      </c>
      <c r="J282" s="76"/>
      <c r="K282" s="82"/>
      <c r="L282" s="82"/>
    </row>
    <row r="283" spans="1:12" ht="21">
      <c r="A283" s="82">
        <v>16</v>
      </c>
      <c r="B283" s="83" t="s">
        <v>90</v>
      </c>
      <c r="C283" s="62">
        <v>25855.8</v>
      </c>
      <c r="D283" s="62"/>
      <c r="E283" s="62"/>
      <c r="F283" s="62">
        <v>35562</v>
      </c>
      <c r="G283" s="62">
        <v>9706.2000000000007</v>
      </c>
      <c r="H283" s="63">
        <f t="shared" si="33"/>
        <v>51711.600000000006</v>
      </c>
      <c r="I283" s="62">
        <f t="shared" si="34"/>
        <v>25855.800000000007</v>
      </c>
      <c r="J283" s="76"/>
      <c r="K283" s="82"/>
      <c r="L283" s="82"/>
    </row>
    <row r="284" spans="1:12" ht="21">
      <c r="A284" s="82">
        <v>17</v>
      </c>
      <c r="B284" s="83" t="s">
        <v>91</v>
      </c>
      <c r="C284" s="63">
        <v>6233</v>
      </c>
      <c r="D284" s="62"/>
      <c r="E284" s="62"/>
      <c r="F284" s="62"/>
      <c r="G284" s="62"/>
      <c r="H284" s="63">
        <f t="shared" si="33"/>
        <v>6233</v>
      </c>
      <c r="I284" s="62">
        <f t="shared" si="34"/>
        <v>0</v>
      </c>
      <c r="J284" s="76"/>
      <c r="K284" s="82"/>
      <c r="L284" s="82"/>
    </row>
    <row r="285" spans="1:12" ht="26.25">
      <c r="A285" s="79"/>
      <c r="B285" s="81" t="s">
        <v>92</v>
      </c>
      <c r="C285" s="84">
        <f>SUM(C268:C284)</f>
        <v>2724723.94</v>
      </c>
      <c r="D285" s="85">
        <f t="shared" ref="D285:F285" si="35">SUM(D268:D284)</f>
        <v>0</v>
      </c>
      <c r="E285" s="85">
        <f t="shared" si="35"/>
        <v>37254</v>
      </c>
      <c r="F285" s="85">
        <f t="shared" si="35"/>
        <v>479320.8</v>
      </c>
      <c r="G285" s="85"/>
      <c r="H285" s="84">
        <f>SUM(H268:H284)</f>
        <v>2739867.26</v>
      </c>
      <c r="I285" s="62"/>
      <c r="J285" s="78"/>
      <c r="K285" s="75"/>
      <c r="L285" s="75"/>
    </row>
    <row r="286" spans="1:12">
      <c r="C286" s="14"/>
    </row>
    <row r="296" spans="1:12">
      <c r="A296" s="303" t="s">
        <v>116</v>
      </c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</row>
    <row r="297" spans="1:12">
      <c r="A297" s="303"/>
      <c r="B297" s="303"/>
      <c r="C297" s="303"/>
      <c r="D297" s="303"/>
      <c r="E297" s="303"/>
      <c r="F297" s="303"/>
      <c r="G297" s="303"/>
      <c r="H297" s="303"/>
      <c r="I297" s="303"/>
      <c r="J297" s="303"/>
      <c r="K297" s="303"/>
      <c r="L297" s="303"/>
    </row>
    <row r="298" spans="1:12" ht="19.5">
      <c r="A298" s="80" t="s">
        <v>75</v>
      </c>
      <c r="B298" s="80" t="s">
        <v>76</v>
      </c>
      <c r="C298" s="80" t="s">
        <v>77</v>
      </c>
      <c r="D298" s="80" t="s">
        <v>98</v>
      </c>
      <c r="E298" s="80" t="s">
        <v>79</v>
      </c>
      <c r="F298" s="80" t="s">
        <v>80</v>
      </c>
      <c r="G298" s="80" t="s">
        <v>57</v>
      </c>
      <c r="H298" s="80" t="s">
        <v>81</v>
      </c>
      <c r="I298" s="80" t="s">
        <v>82</v>
      </c>
      <c r="J298" s="80" t="s">
        <v>99</v>
      </c>
      <c r="K298" s="80" t="s">
        <v>47</v>
      </c>
      <c r="L298" s="80" t="s">
        <v>84</v>
      </c>
    </row>
    <row r="299" spans="1:12" ht="21">
      <c r="A299" s="82">
        <v>1</v>
      </c>
      <c r="B299" s="83" t="s">
        <v>13</v>
      </c>
      <c r="C299" s="106">
        <f>'SFBL-PB'!D32</f>
        <v>35470.899999999994</v>
      </c>
      <c r="D299" s="62"/>
      <c r="E299" s="62"/>
      <c r="F299" s="62"/>
      <c r="G299" s="62"/>
      <c r="H299" s="63">
        <f t="shared" ref="H299:H318" si="36">C299+D299+E299+F299-G299</f>
        <v>35470.899999999994</v>
      </c>
      <c r="I299" s="62">
        <f>F299-G299</f>
        <v>0</v>
      </c>
      <c r="J299" s="76"/>
      <c r="K299" s="82"/>
      <c r="L299" s="82"/>
    </row>
    <row r="300" spans="1:12" ht="21">
      <c r="A300" s="82">
        <v>3</v>
      </c>
      <c r="B300" s="83" t="s">
        <v>101</v>
      </c>
      <c r="C300" s="107">
        <f>'SFBL-AD'!D33</f>
        <v>52136</v>
      </c>
      <c r="D300" s="62"/>
      <c r="E300" s="62"/>
      <c r="F300" s="62">
        <f>4642+4741</f>
        <v>9383</v>
      </c>
      <c r="G300" s="62">
        <f>3880+5175</f>
        <v>9055</v>
      </c>
      <c r="H300" s="63">
        <f t="shared" si="36"/>
        <v>52464</v>
      </c>
      <c r="I300" s="62"/>
      <c r="J300" s="76"/>
      <c r="K300" s="82"/>
      <c r="L300" s="82"/>
    </row>
    <row r="301" spans="1:12" ht="21">
      <c r="A301" s="82">
        <v>4</v>
      </c>
      <c r="B301" s="83" t="s">
        <v>48</v>
      </c>
      <c r="C301" s="105">
        <f>STP!D32</f>
        <v>3560</v>
      </c>
      <c r="D301" s="62"/>
      <c r="E301" s="62"/>
      <c r="F301" s="62"/>
      <c r="G301" s="62"/>
      <c r="H301" s="63">
        <f t="shared" si="36"/>
        <v>3560</v>
      </c>
      <c r="I301" s="62"/>
      <c r="J301" s="76"/>
      <c r="K301" s="82"/>
      <c r="L301" s="82"/>
    </row>
    <row r="302" spans="1:12" ht="21">
      <c r="A302" s="82">
        <v>5</v>
      </c>
      <c r="B302" s="83" t="s">
        <v>49</v>
      </c>
      <c r="C302" s="107">
        <f>ETP!D32</f>
        <v>4232.3999999999996</v>
      </c>
      <c r="D302" s="62"/>
      <c r="E302" s="62"/>
      <c r="F302" s="62"/>
      <c r="G302" s="62"/>
      <c r="H302" s="63">
        <f t="shared" si="36"/>
        <v>4232.3999999999996</v>
      </c>
      <c r="I302" s="62"/>
      <c r="J302" s="76"/>
      <c r="K302" s="82"/>
      <c r="L302" s="82"/>
    </row>
    <row r="303" spans="1:12" ht="21">
      <c r="A303" s="82">
        <v>6</v>
      </c>
      <c r="B303" s="83" t="s">
        <v>50</v>
      </c>
      <c r="C303" s="107">
        <f>'SETL-PB'!D32</f>
        <v>58760.040000000008</v>
      </c>
      <c r="D303" s="62"/>
      <c r="E303" s="62"/>
      <c r="F303" s="62"/>
      <c r="G303" s="62"/>
      <c r="H303" s="63">
        <f t="shared" si="36"/>
        <v>58760.040000000008</v>
      </c>
      <c r="I303" s="62"/>
      <c r="J303" s="76"/>
      <c r="K303" s="82"/>
      <c r="L303" s="82"/>
    </row>
    <row r="304" spans="1:12" ht="21">
      <c r="A304" s="82">
        <v>7</v>
      </c>
      <c r="B304" s="83" t="s">
        <v>51</v>
      </c>
      <c r="C304" s="107">
        <f>CCKL!D32</f>
        <v>279127</v>
      </c>
      <c r="D304" s="62"/>
      <c r="E304" s="62"/>
      <c r="F304" s="62"/>
      <c r="G304" s="62"/>
      <c r="H304" s="63">
        <f t="shared" si="36"/>
        <v>279127</v>
      </c>
      <c r="I304" s="62"/>
      <c r="J304" s="76"/>
      <c r="K304" s="77"/>
      <c r="L304" s="82"/>
    </row>
    <row r="305" spans="1:12" ht="21">
      <c r="A305" s="82">
        <v>8</v>
      </c>
      <c r="B305" s="83" t="s">
        <v>52</v>
      </c>
      <c r="C305" s="107">
        <f>'STL-PB'!D33</f>
        <v>9160.24</v>
      </c>
      <c r="D305" s="62"/>
      <c r="E305" s="62"/>
      <c r="F305" s="62"/>
      <c r="G305" s="62"/>
      <c r="H305" s="63">
        <f t="shared" si="36"/>
        <v>9160.24</v>
      </c>
      <c r="I305" s="62"/>
      <c r="J305" s="76"/>
      <c r="K305" s="82"/>
      <c r="L305" s="62"/>
    </row>
    <row r="306" spans="1:12" ht="21">
      <c r="A306" s="82">
        <v>9</v>
      </c>
      <c r="B306" s="83" t="s">
        <v>53</v>
      </c>
      <c r="C306" s="105">
        <f>'STL-AB'!D32</f>
        <v>64345.200000000004</v>
      </c>
      <c r="D306" s="62"/>
      <c r="E306" s="62"/>
      <c r="F306" s="62">
        <f>3385.8+4704</f>
        <v>8089.8</v>
      </c>
      <c r="G306" s="62"/>
      <c r="H306" s="63">
        <f t="shared" si="36"/>
        <v>72435</v>
      </c>
      <c r="I306" s="62"/>
      <c r="J306" s="76"/>
      <c r="K306" s="82"/>
      <c r="L306" s="82"/>
    </row>
    <row r="307" spans="1:12" ht="21">
      <c r="A307" s="82">
        <v>10</v>
      </c>
      <c r="B307" s="83" t="s">
        <v>54</v>
      </c>
      <c r="C307" s="104">
        <f>'STL-UB'!D32</f>
        <v>8213.0400000000009</v>
      </c>
      <c r="D307" s="62"/>
      <c r="E307" s="62"/>
      <c r="F307" s="62"/>
      <c r="G307" s="62"/>
      <c r="H307" s="63">
        <f t="shared" si="36"/>
        <v>8213.0400000000009</v>
      </c>
      <c r="I307" s="62"/>
      <c r="J307" s="76"/>
      <c r="K307" s="82"/>
      <c r="L307" s="82"/>
    </row>
    <row r="308" spans="1:12" ht="21">
      <c r="A308" s="82">
        <v>11</v>
      </c>
      <c r="B308" s="83" t="s">
        <v>55</v>
      </c>
      <c r="C308" s="104">
        <f>'HFL -AEPZ'!D33</f>
        <v>604398</v>
      </c>
      <c r="D308" s="62"/>
      <c r="E308" s="62"/>
      <c r="F308" s="62"/>
      <c r="G308" s="62">
        <f>5131+1100+111+3100+74+40+4107+1750+825+6+1100+1332+450+418+20+6578.5</f>
        <v>26142.5</v>
      </c>
      <c r="H308" s="63">
        <f t="shared" si="36"/>
        <v>578255.5</v>
      </c>
      <c r="I308" s="62"/>
      <c r="J308" s="76"/>
      <c r="K308" s="82"/>
      <c r="L308" s="82"/>
    </row>
    <row r="309" spans="1:12" ht="21">
      <c r="A309" s="82">
        <v>12</v>
      </c>
      <c r="B309" s="83" t="s">
        <v>61</v>
      </c>
      <c r="C309" s="104">
        <f>RCL!D32</f>
        <v>22902.519999999997</v>
      </c>
      <c r="D309" s="62"/>
      <c r="E309" s="62"/>
      <c r="F309" s="62"/>
      <c r="G309" s="62"/>
      <c r="H309" s="63">
        <f t="shared" si="36"/>
        <v>22902.519999999997</v>
      </c>
      <c r="I309" s="62"/>
      <c r="J309" s="76"/>
      <c r="K309" s="77"/>
      <c r="L309" s="82"/>
    </row>
    <row r="310" spans="1:12" ht="21">
      <c r="A310" s="82">
        <v>13</v>
      </c>
      <c r="B310" s="83" t="s">
        <v>114</v>
      </c>
      <c r="C310" s="60">
        <f>Ashulia!D32</f>
        <v>903683.33000000007</v>
      </c>
      <c r="D310" s="62"/>
      <c r="E310" s="62"/>
      <c r="F310" s="62">
        <f>5131+1100+111+3100+74+40+4107+1750+825+6+1100+1332+450+418+20+4215.5</f>
        <v>23779.5</v>
      </c>
      <c r="G310" s="62">
        <f>4642+3385.8+170+255+170+7364</f>
        <v>15986.8</v>
      </c>
      <c r="H310" s="63">
        <f t="shared" si="36"/>
        <v>911476.03</v>
      </c>
      <c r="I310" s="62"/>
      <c r="J310" s="76">
        <f>9465+8350</f>
        <v>17815</v>
      </c>
      <c r="K310" s="89"/>
      <c r="L310" s="82"/>
    </row>
    <row r="311" spans="1:12" ht="21">
      <c r="A311" s="82">
        <v>14</v>
      </c>
      <c r="B311" s="83" t="s">
        <v>115</v>
      </c>
      <c r="C311" s="104">
        <f>Mawna!D33</f>
        <v>684600.05999999994</v>
      </c>
      <c r="D311" s="62"/>
      <c r="E311" s="62"/>
      <c r="F311" s="62">
        <f>3880+5175+6578.5</f>
        <v>15633.5</v>
      </c>
      <c r="G311" s="62">
        <f>4704+4741</f>
        <v>9445</v>
      </c>
      <c r="H311" s="63">
        <f t="shared" si="36"/>
        <v>690788.55999999994</v>
      </c>
      <c r="I311" s="62"/>
      <c r="J311" s="76"/>
      <c r="K311" s="82"/>
      <c r="L311" s="82"/>
    </row>
    <row r="312" spans="1:12" ht="21">
      <c r="A312" s="82">
        <v>15</v>
      </c>
      <c r="B312" s="83" t="s">
        <v>70</v>
      </c>
      <c r="C312" s="104">
        <f>'SHL-B'!D41</f>
        <v>12656</v>
      </c>
      <c r="D312" s="62"/>
      <c r="E312" s="62"/>
      <c r="F312" s="62"/>
      <c r="G312" s="62"/>
      <c r="H312" s="63">
        <f t="shared" si="36"/>
        <v>12656</v>
      </c>
      <c r="I312" s="62"/>
      <c r="J312" s="76"/>
      <c r="K312" s="82"/>
      <c r="L312" s="82"/>
    </row>
    <row r="313" spans="1:12" ht="21">
      <c r="A313" s="82">
        <v>16</v>
      </c>
      <c r="B313" s="83" t="s">
        <v>90</v>
      </c>
      <c r="C313" s="60"/>
      <c r="D313" s="62"/>
      <c r="E313" s="62"/>
      <c r="F313" s="62"/>
      <c r="G313" s="62">
        <f>4215.5</f>
        <v>4215.5</v>
      </c>
      <c r="H313" s="63">
        <f t="shared" si="36"/>
        <v>-4215.5</v>
      </c>
      <c r="I313" s="62"/>
      <c r="J313" s="76"/>
      <c r="K313" s="82"/>
      <c r="L313" s="82"/>
    </row>
    <row r="314" spans="1:12" ht="21">
      <c r="A314" s="82">
        <v>17</v>
      </c>
      <c r="B314" s="83" t="s">
        <v>117</v>
      </c>
      <c r="C314" s="60"/>
      <c r="D314" s="62"/>
      <c r="E314" s="62"/>
      <c r="F314" s="62">
        <v>170</v>
      </c>
      <c r="G314" s="62"/>
      <c r="H314" s="63">
        <f t="shared" si="36"/>
        <v>170</v>
      </c>
      <c r="I314" s="62"/>
      <c r="J314" s="76"/>
      <c r="K314" s="82"/>
      <c r="L314" s="82"/>
    </row>
    <row r="315" spans="1:12" ht="21">
      <c r="A315" s="82">
        <v>18</v>
      </c>
      <c r="B315" s="83" t="s">
        <v>118</v>
      </c>
      <c r="C315" s="60"/>
      <c r="D315" s="62"/>
      <c r="E315" s="62"/>
      <c r="F315" s="62">
        <v>255</v>
      </c>
      <c r="G315" s="62"/>
      <c r="H315" s="63">
        <f t="shared" si="36"/>
        <v>255</v>
      </c>
      <c r="I315" s="62"/>
      <c r="J315" s="76"/>
      <c r="K315" s="82"/>
      <c r="L315" s="82"/>
    </row>
    <row r="316" spans="1:12" ht="21">
      <c r="A316" s="82">
        <v>19</v>
      </c>
      <c r="B316" s="83" t="s">
        <v>119</v>
      </c>
      <c r="C316" s="60"/>
      <c r="D316" s="62"/>
      <c r="E316" s="62"/>
      <c r="F316" s="62">
        <v>170</v>
      </c>
      <c r="G316" s="62"/>
      <c r="H316" s="63">
        <f t="shared" si="36"/>
        <v>170</v>
      </c>
      <c r="I316" s="62"/>
      <c r="J316" s="76"/>
      <c r="K316" s="82"/>
      <c r="L316" s="82"/>
    </row>
    <row r="317" spans="1:12" ht="21">
      <c r="A317" s="82">
        <v>20</v>
      </c>
      <c r="B317" s="83" t="s">
        <v>120</v>
      </c>
      <c r="C317" s="60"/>
      <c r="D317" s="62"/>
      <c r="E317" s="62"/>
      <c r="F317" s="62">
        <v>7364</v>
      </c>
      <c r="G317" s="62"/>
      <c r="H317" s="63">
        <f t="shared" si="36"/>
        <v>7364</v>
      </c>
      <c r="I317" s="62"/>
      <c r="J317" s="76"/>
      <c r="K317" s="82"/>
      <c r="L317" s="82"/>
    </row>
    <row r="318" spans="1:12" ht="21">
      <c r="A318" s="82">
        <v>21</v>
      </c>
      <c r="B318" s="83" t="s">
        <v>91</v>
      </c>
      <c r="C318" s="60"/>
      <c r="D318" s="62"/>
      <c r="E318" s="62"/>
      <c r="F318" s="62"/>
      <c r="G318" s="62"/>
      <c r="H318" s="63">
        <f t="shared" si="36"/>
        <v>0</v>
      </c>
      <c r="I318" s="62"/>
      <c r="J318" s="76"/>
      <c r="K318" s="82"/>
      <c r="L318" s="82"/>
    </row>
    <row r="319" spans="1:12" ht="26.25">
      <c r="A319" s="79"/>
      <c r="B319" s="81" t="s">
        <v>92</v>
      </c>
      <c r="C319" s="84">
        <f>SUM(C299:C318)</f>
        <v>2743244.73</v>
      </c>
      <c r="D319" s="85">
        <f t="shared" ref="D319:E319" si="37">SUM(D299:D318)</f>
        <v>0</v>
      </c>
      <c r="E319" s="85">
        <f t="shared" si="37"/>
        <v>0</v>
      </c>
      <c r="F319" s="85">
        <f>SUM(F299:F318)</f>
        <v>64844.800000000003</v>
      </c>
      <c r="G319" s="85">
        <f>SUM(G299:G318)</f>
        <v>64844.800000000003</v>
      </c>
      <c r="H319" s="84">
        <f>H299+H300+H301+H302+H303+H304+H305+H306+H307+H308+H309+H310+H311+H312+H314+H315+H316+H317</f>
        <v>2747460.23</v>
      </c>
      <c r="I319" s="62">
        <f>C319-H319</f>
        <v>-4215.5</v>
      </c>
      <c r="J319" s="78"/>
      <c r="K319" s="75"/>
      <c r="L319" s="75"/>
    </row>
    <row r="324" spans="1:16">
      <c r="A324" s="304" t="s">
        <v>121</v>
      </c>
      <c r="B324" s="304"/>
      <c r="C324" s="304"/>
      <c r="D324" s="304"/>
      <c r="E324" s="304"/>
      <c r="F324" s="304"/>
      <c r="G324" s="304"/>
      <c r="H324" s="304"/>
      <c r="I324" s="304"/>
      <c r="J324" s="304"/>
      <c r="K324" s="304"/>
      <c r="L324" s="304"/>
    </row>
    <row r="325" spans="1:16">
      <c r="A325" s="304"/>
      <c r="B325" s="304"/>
      <c r="C325" s="304"/>
      <c r="D325" s="304"/>
      <c r="E325" s="304"/>
      <c r="F325" s="304"/>
      <c r="G325" s="304"/>
      <c r="H325" s="304"/>
      <c r="I325" s="304"/>
      <c r="J325" s="304"/>
      <c r="K325" s="304"/>
      <c r="L325" s="304"/>
    </row>
    <row r="326" spans="1:16" ht="19.5">
      <c r="A326" s="124" t="s">
        <v>75</v>
      </c>
      <c r="B326" s="124" t="s">
        <v>76</v>
      </c>
      <c r="C326" s="124" t="s">
        <v>77</v>
      </c>
      <c r="D326" s="124" t="s">
        <v>98</v>
      </c>
      <c r="E326" s="124" t="s">
        <v>79</v>
      </c>
      <c r="F326" s="124" t="s">
        <v>80</v>
      </c>
      <c r="G326" s="124" t="s">
        <v>57</v>
      </c>
      <c r="H326" s="124" t="s">
        <v>81</v>
      </c>
      <c r="I326" s="124" t="s">
        <v>126</v>
      </c>
      <c r="J326" s="124" t="s">
        <v>99</v>
      </c>
      <c r="K326" s="124" t="s">
        <v>47</v>
      </c>
      <c r="L326" s="124" t="s">
        <v>84</v>
      </c>
    </row>
    <row r="327" spans="1:16" ht="21">
      <c r="A327" s="125">
        <v>1</v>
      </c>
      <c r="B327" s="126" t="s">
        <v>13</v>
      </c>
      <c r="C327" s="127">
        <v>35470</v>
      </c>
      <c r="D327" s="128"/>
      <c r="E327" s="128"/>
      <c r="F327" s="128"/>
      <c r="G327" s="128">
        <v>370</v>
      </c>
      <c r="H327" s="129">
        <f>(C327+E327+F327)-G327</f>
        <v>35100</v>
      </c>
      <c r="I327" s="128">
        <v>35044</v>
      </c>
      <c r="J327" s="130"/>
      <c r="K327" s="131">
        <f>H327-I327</f>
        <v>56</v>
      </c>
      <c r="L327" s="125"/>
      <c r="N327" s="43"/>
    </row>
    <row r="328" spans="1:16" ht="21">
      <c r="A328" s="125">
        <v>3</v>
      </c>
      <c r="B328" s="126" t="s">
        <v>101</v>
      </c>
      <c r="C328" s="127">
        <v>52136</v>
      </c>
      <c r="D328" s="128"/>
      <c r="E328" s="128">
        <f>115+98</f>
        <v>213</v>
      </c>
      <c r="F328" s="128">
        <f>4612+4741+370</f>
        <v>9723</v>
      </c>
      <c r="G328" s="128">
        <f>3880+5175</f>
        <v>9055</v>
      </c>
      <c r="H328" s="129">
        <f>(C328+E328+F328)-G328</f>
        <v>53017</v>
      </c>
      <c r="I328" s="128">
        <v>53199</v>
      </c>
      <c r="J328" s="130"/>
      <c r="K328" s="131">
        <f>H328-I328</f>
        <v>-182</v>
      </c>
      <c r="L328" s="131"/>
      <c r="M328" s="43"/>
      <c r="N328" s="43"/>
    </row>
    <row r="329" spans="1:16" ht="21">
      <c r="A329" s="125">
        <v>4</v>
      </c>
      <c r="B329" s="126" t="s">
        <v>48</v>
      </c>
      <c r="C329" s="127">
        <v>3560</v>
      </c>
      <c r="D329" s="128"/>
      <c r="E329" s="128"/>
      <c r="F329" s="128"/>
      <c r="G329" s="128"/>
      <c r="H329" s="129">
        <f>C329+D329+E329+F329-G329</f>
        <v>3560</v>
      </c>
      <c r="I329" s="128">
        <v>3560</v>
      </c>
      <c r="J329" s="130"/>
      <c r="K329" s="131">
        <f t="shared" ref="K329:K330" si="38">H329-I329</f>
        <v>0</v>
      </c>
      <c r="L329" s="125"/>
      <c r="M329" s="43"/>
      <c r="N329" s="43">
        <f>C329-H329</f>
        <v>0</v>
      </c>
    </row>
    <row r="330" spans="1:16" ht="21">
      <c r="A330" s="125">
        <v>5</v>
      </c>
      <c r="B330" s="126" t="s">
        <v>49</v>
      </c>
      <c r="C330" s="127">
        <v>4232.3999999999996</v>
      </c>
      <c r="D330" s="128"/>
      <c r="E330" s="128"/>
      <c r="F330" s="128"/>
      <c r="G330" s="128"/>
      <c r="H330" s="129">
        <f>C330+D330+E330+F330-G330</f>
        <v>4232.3999999999996</v>
      </c>
      <c r="I330" s="128">
        <v>4232.3999999999996</v>
      </c>
      <c r="J330" s="130"/>
      <c r="K330" s="131">
        <f t="shared" si="38"/>
        <v>0</v>
      </c>
      <c r="L330" s="125"/>
      <c r="N330" s="43">
        <f>C330-H330</f>
        <v>0</v>
      </c>
    </row>
    <row r="331" spans="1:16" ht="21">
      <c r="A331" s="125">
        <v>6</v>
      </c>
      <c r="B331" s="126" t="s">
        <v>50</v>
      </c>
      <c r="C331" s="127">
        <v>58760.04</v>
      </c>
      <c r="D331" s="128"/>
      <c r="E331" s="128"/>
      <c r="F331" s="128"/>
      <c r="G331" s="128"/>
      <c r="H331" s="129">
        <f>C331+D331+E331+F331-G331</f>
        <v>58760.04</v>
      </c>
      <c r="I331" s="128">
        <v>33452</v>
      </c>
      <c r="J331" s="130"/>
      <c r="K331" s="132">
        <f t="shared" ref="K331:K352" si="39">H331-I331</f>
        <v>25308.04</v>
      </c>
      <c r="L331" s="133" t="e">
        <f>(-problem)</f>
        <v>#NAME?</v>
      </c>
      <c r="M331" s="14"/>
      <c r="N331" s="43">
        <f>C331-H331</f>
        <v>0</v>
      </c>
      <c r="O331" s="117"/>
    </row>
    <row r="332" spans="1:16" ht="21">
      <c r="A332" s="125">
        <v>7</v>
      </c>
      <c r="B332" s="126" t="s">
        <v>51</v>
      </c>
      <c r="C332" s="127">
        <v>279127</v>
      </c>
      <c r="D332" s="128"/>
      <c r="E332" s="128"/>
      <c r="F332" s="128"/>
      <c r="G332" s="128"/>
      <c r="H332" s="129">
        <f>C332+D332+E332+F332-G332</f>
        <v>279127</v>
      </c>
      <c r="I332" s="128">
        <v>279127</v>
      </c>
      <c r="J332" s="130"/>
      <c r="K332" s="132">
        <f t="shared" si="39"/>
        <v>0</v>
      </c>
      <c r="L332" s="125"/>
      <c r="N332" s="43">
        <f>C332-H332</f>
        <v>0</v>
      </c>
      <c r="O332" s="118"/>
    </row>
    <row r="333" spans="1:16" ht="28.5">
      <c r="A333" s="125">
        <v>8</v>
      </c>
      <c r="B333" s="126" t="s">
        <v>52</v>
      </c>
      <c r="C333" s="127">
        <v>9066.44</v>
      </c>
      <c r="D333" s="128"/>
      <c r="E333" s="128"/>
      <c r="F333" s="128"/>
      <c r="G333" s="128"/>
      <c r="H333" s="129">
        <f>C333+D333+E333+F333-G333</f>
        <v>9066.44</v>
      </c>
      <c r="I333" s="129">
        <v>9066.4</v>
      </c>
      <c r="J333" s="130"/>
      <c r="K333" s="132">
        <f t="shared" si="39"/>
        <v>4.0000000000873115E-2</v>
      </c>
      <c r="L333" s="128"/>
      <c r="N333" s="43">
        <f>C333-H333</f>
        <v>0</v>
      </c>
      <c r="O333" s="119"/>
      <c r="P333" s="116">
        <f>I338-O333</f>
        <v>893690.42</v>
      </c>
    </row>
    <row r="334" spans="1:16" ht="21">
      <c r="A334" s="125">
        <v>9</v>
      </c>
      <c r="B334" s="126" t="s">
        <v>53</v>
      </c>
      <c r="C334" s="127">
        <v>64345.2</v>
      </c>
      <c r="D334" s="128"/>
      <c r="E334" s="128"/>
      <c r="F334" s="128">
        <f>3385.8+4704</f>
        <v>8089.8</v>
      </c>
      <c r="G334" s="128"/>
      <c r="H334" s="129">
        <f>C334+F334</f>
        <v>72435</v>
      </c>
      <c r="I334" s="128">
        <f>71633+196+60+546</f>
        <v>72435</v>
      </c>
      <c r="J334" s="130"/>
      <c r="K334" s="132">
        <f t="shared" si="39"/>
        <v>0</v>
      </c>
      <c r="L334" s="125"/>
      <c r="N334" s="43" t="s">
        <v>127</v>
      </c>
    </row>
    <row r="335" spans="1:16" ht="21">
      <c r="A335" s="125">
        <v>10</v>
      </c>
      <c r="B335" s="126" t="s">
        <v>54</v>
      </c>
      <c r="C335" s="127">
        <v>8711.94</v>
      </c>
      <c r="D335" s="128"/>
      <c r="E335" s="128"/>
      <c r="F335" s="128"/>
      <c r="G335" s="128"/>
      <c r="H335" s="129">
        <f>C335+D335+E335+F335-G335</f>
        <v>8711.94</v>
      </c>
      <c r="I335" s="128">
        <v>8711.9</v>
      </c>
      <c r="J335" s="130"/>
      <c r="K335" s="132">
        <f t="shared" si="39"/>
        <v>4.0000000000873115E-2</v>
      </c>
      <c r="L335" s="125"/>
      <c r="N335" s="43">
        <f>C335-H335</f>
        <v>0</v>
      </c>
    </row>
    <row r="336" spans="1:16" ht="21">
      <c r="A336" s="125">
        <v>11</v>
      </c>
      <c r="B336" s="126" t="s">
        <v>55</v>
      </c>
      <c r="C336" s="127">
        <v>600762.5</v>
      </c>
      <c r="D336" s="128"/>
      <c r="E336" s="128"/>
      <c r="F336" s="128"/>
      <c r="G336" s="128">
        <f>5131+1100+111+3100+74+40+4107+1750+825+6+1100+1332+450+418+20+6578.5</f>
        <v>26142.5</v>
      </c>
      <c r="H336" s="129">
        <f>C336+D336+E336+F336-G336</f>
        <v>574620</v>
      </c>
      <c r="I336" s="128">
        <v>574676</v>
      </c>
      <c r="J336" s="130"/>
      <c r="K336" s="125">
        <f t="shared" si="39"/>
        <v>-56</v>
      </c>
      <c r="L336" s="125"/>
      <c r="N336" s="43"/>
    </row>
    <row r="337" spans="1:19" ht="21">
      <c r="A337" s="125">
        <v>12</v>
      </c>
      <c r="B337" s="126" t="s">
        <v>61</v>
      </c>
      <c r="C337" s="127">
        <v>13675.82</v>
      </c>
      <c r="D337" s="128"/>
      <c r="E337" s="128"/>
      <c r="F337" s="128"/>
      <c r="G337" s="128"/>
      <c r="H337" s="129">
        <f>C337+D337+E337+F337-G337</f>
        <v>13675.82</v>
      </c>
      <c r="I337" s="128">
        <v>13675.8</v>
      </c>
      <c r="J337" s="130"/>
      <c r="K337" s="131">
        <f t="shared" si="39"/>
        <v>2.0000000000436557E-2</v>
      </c>
      <c r="L337" s="125"/>
      <c r="N337" s="43">
        <f>C337-H337</f>
        <v>0</v>
      </c>
      <c r="O337" s="87"/>
    </row>
    <row r="338" spans="1:19" ht="21">
      <c r="A338" s="125">
        <v>13</v>
      </c>
      <c r="B338" s="126" t="s">
        <v>114</v>
      </c>
      <c r="C338" s="127">
        <v>903683</v>
      </c>
      <c r="D338" s="128"/>
      <c r="E338" s="128"/>
      <c r="F338" s="128">
        <f>4215.5+5131+1100+111+3100+74+40+4107+1750+825+6+1100+1332+450+418+20</f>
        <v>23779.5</v>
      </c>
      <c r="G338" s="128">
        <f>4612+3385.8+170+255+170</f>
        <v>8592.7999999999993</v>
      </c>
      <c r="H338" s="129">
        <f>(C338+F338)-(G338+J338+F345)</f>
        <v>893690.7</v>
      </c>
      <c r="I338" s="128">
        <f>883176.42+10514</f>
        <v>893690.42</v>
      </c>
      <c r="J338" s="130">
        <f>9465+8350</f>
        <v>17815</v>
      </c>
      <c r="K338" s="134">
        <f t="shared" si="39"/>
        <v>0.27999999991152436</v>
      </c>
      <c r="L338" s="135"/>
      <c r="M338" s="113"/>
      <c r="N338" s="43"/>
    </row>
    <row r="339" spans="1:19" ht="21">
      <c r="A339" s="125">
        <v>14</v>
      </c>
      <c r="B339" s="126" t="s">
        <v>115</v>
      </c>
      <c r="C339" s="136">
        <v>682073</v>
      </c>
      <c r="D339" s="123">
        <v>684600.06</v>
      </c>
      <c r="E339" s="128"/>
      <c r="F339" s="128">
        <f>3880+5175+6578.5</f>
        <v>15633.5</v>
      </c>
      <c r="G339" s="128">
        <f>4704+4741</f>
        <v>9445</v>
      </c>
      <c r="H339" s="129">
        <f>(C339+F339)-G339</f>
        <v>688261.5</v>
      </c>
      <c r="I339" s="128">
        <v>688261.06</v>
      </c>
      <c r="J339" s="130"/>
      <c r="K339" s="134">
        <f t="shared" si="39"/>
        <v>0.43999999994412065</v>
      </c>
      <c r="L339" s="125"/>
      <c r="N339" s="43"/>
    </row>
    <row r="340" spans="1:19" ht="21">
      <c r="A340" s="125">
        <v>15</v>
      </c>
      <c r="B340" s="126" t="s">
        <v>70</v>
      </c>
      <c r="C340" s="127">
        <v>12656</v>
      </c>
      <c r="D340" s="128"/>
      <c r="E340" s="128"/>
      <c r="F340" s="128"/>
      <c r="G340" s="128"/>
      <c r="H340" s="129">
        <f>C340+D340+E340+F340-G340</f>
        <v>12656</v>
      </c>
      <c r="I340" s="128">
        <f>H340</f>
        <v>12656</v>
      </c>
      <c r="J340" s="130"/>
      <c r="K340" s="134">
        <f t="shared" si="39"/>
        <v>0</v>
      </c>
      <c r="L340" s="125"/>
      <c r="N340" s="43">
        <f>C340-H340</f>
        <v>0</v>
      </c>
    </row>
    <row r="341" spans="1:19" s="151" customFormat="1" ht="21">
      <c r="A341" s="145">
        <v>16</v>
      </c>
      <c r="B341" s="146" t="s">
        <v>90</v>
      </c>
      <c r="C341" s="147">
        <f>4216</f>
        <v>4216</v>
      </c>
      <c r="D341" s="147"/>
      <c r="E341" s="148"/>
      <c r="F341" s="148"/>
      <c r="G341" s="148">
        <f>4215.5</f>
        <v>4215.5</v>
      </c>
      <c r="H341" s="149">
        <f t="shared" ref="H341:H346" si="40">(C341+E341+F341)-G341</f>
        <v>0.5</v>
      </c>
      <c r="I341" s="148">
        <v>0</v>
      </c>
      <c r="J341" s="150"/>
      <c r="K341" s="145">
        <f t="shared" si="39"/>
        <v>0.5</v>
      </c>
      <c r="L341" s="145"/>
      <c r="M341" s="305" t="s">
        <v>128</v>
      </c>
      <c r="N341" s="306"/>
      <c r="O341" s="152"/>
      <c r="P341" s="153"/>
      <c r="Q341" s="153"/>
      <c r="R341" s="153"/>
      <c r="S341" s="153"/>
    </row>
    <row r="342" spans="1:19" ht="21">
      <c r="A342" s="125">
        <v>17</v>
      </c>
      <c r="B342" s="126" t="s">
        <v>117</v>
      </c>
      <c r="C342" s="123">
        <v>170</v>
      </c>
      <c r="D342" s="128"/>
      <c r="E342" s="128"/>
      <c r="F342" s="128">
        <v>170</v>
      </c>
      <c r="G342" s="128"/>
      <c r="H342" s="129">
        <f t="shared" si="40"/>
        <v>340</v>
      </c>
      <c r="I342" s="128">
        <f>H342</f>
        <v>340</v>
      </c>
      <c r="J342" s="130"/>
      <c r="K342" s="125">
        <f t="shared" si="39"/>
        <v>0</v>
      </c>
      <c r="L342" s="125"/>
      <c r="P342" s="73"/>
      <c r="Q342" s="73"/>
      <c r="R342" s="73"/>
      <c r="S342" s="73"/>
    </row>
    <row r="343" spans="1:19" ht="21">
      <c r="A343" s="125">
        <v>18</v>
      </c>
      <c r="B343" s="126" t="s">
        <v>118</v>
      </c>
      <c r="C343" s="123">
        <v>255</v>
      </c>
      <c r="D343" s="128"/>
      <c r="E343" s="128"/>
      <c r="F343" s="128">
        <v>255</v>
      </c>
      <c r="G343" s="128"/>
      <c r="H343" s="129">
        <f t="shared" si="40"/>
        <v>510</v>
      </c>
      <c r="I343" s="128">
        <f t="shared" ref="I343:I346" si="41">H343</f>
        <v>510</v>
      </c>
      <c r="J343" s="130"/>
      <c r="K343" s="125">
        <f t="shared" si="39"/>
        <v>0</v>
      </c>
      <c r="L343" s="125"/>
    </row>
    <row r="344" spans="1:19" ht="21">
      <c r="A344" s="125">
        <v>19</v>
      </c>
      <c r="B344" s="126" t="s">
        <v>119</v>
      </c>
      <c r="C344" s="123">
        <v>170</v>
      </c>
      <c r="D344" s="128"/>
      <c r="E344" s="128"/>
      <c r="F344" s="128">
        <v>170</v>
      </c>
      <c r="G344" s="128"/>
      <c r="H344" s="129">
        <f t="shared" si="40"/>
        <v>340</v>
      </c>
      <c r="I344" s="128">
        <f t="shared" si="41"/>
        <v>340</v>
      </c>
      <c r="J344" s="130"/>
      <c r="K344" s="125">
        <f t="shared" si="39"/>
        <v>0</v>
      </c>
      <c r="L344" s="125"/>
    </row>
    <row r="345" spans="1:19" ht="21">
      <c r="A345" s="125">
        <v>20</v>
      </c>
      <c r="B345" s="126" t="s">
        <v>120</v>
      </c>
      <c r="C345" s="123">
        <v>0</v>
      </c>
      <c r="D345" s="128"/>
      <c r="E345" s="128"/>
      <c r="F345" s="128">
        <v>7364</v>
      </c>
      <c r="G345" s="128"/>
      <c r="H345" s="129">
        <f t="shared" si="40"/>
        <v>7364</v>
      </c>
      <c r="I345" s="128">
        <v>7364</v>
      </c>
      <c r="J345" s="130"/>
      <c r="K345" s="125">
        <f t="shared" si="39"/>
        <v>0</v>
      </c>
      <c r="L345" s="125"/>
    </row>
    <row r="346" spans="1:19" ht="21">
      <c r="A346" s="125">
        <v>21</v>
      </c>
      <c r="B346" s="126" t="s">
        <v>132</v>
      </c>
      <c r="C346" s="127">
        <v>6803</v>
      </c>
      <c r="D346" s="128"/>
      <c r="E346" s="128"/>
      <c r="F346" s="128"/>
      <c r="G346" s="128"/>
      <c r="H346" s="129">
        <f t="shared" si="40"/>
        <v>6803</v>
      </c>
      <c r="I346" s="128">
        <f t="shared" si="41"/>
        <v>6803</v>
      </c>
      <c r="J346" s="130"/>
      <c r="K346" s="125">
        <f t="shared" si="39"/>
        <v>0</v>
      </c>
      <c r="L346" s="125"/>
    </row>
    <row r="347" spans="1:19" ht="21">
      <c r="A347" s="125">
        <v>22</v>
      </c>
      <c r="B347" s="126" t="s">
        <v>133</v>
      </c>
      <c r="C347" s="127">
        <v>16308</v>
      </c>
      <c r="D347" s="128"/>
      <c r="E347" s="128"/>
      <c r="F347" s="128"/>
      <c r="G347" s="128"/>
      <c r="H347" s="137">
        <v>16308</v>
      </c>
      <c r="I347" s="128">
        <v>16308</v>
      </c>
      <c r="J347" s="130"/>
      <c r="K347" s="125">
        <f t="shared" si="39"/>
        <v>0</v>
      </c>
      <c r="L347" s="125"/>
    </row>
    <row r="348" spans="1:19" ht="21">
      <c r="A348" s="125">
        <v>23</v>
      </c>
      <c r="B348" s="126" t="s">
        <v>136</v>
      </c>
      <c r="C348" s="127">
        <v>153</v>
      </c>
      <c r="D348" s="128"/>
      <c r="E348" s="128"/>
      <c r="F348" s="128"/>
      <c r="G348" s="128"/>
      <c r="H348" s="137"/>
      <c r="I348" s="128"/>
      <c r="J348" s="130"/>
      <c r="K348" s="125"/>
      <c r="L348" s="125"/>
    </row>
    <row r="349" spans="1:19" ht="21">
      <c r="A349" s="125">
        <v>24</v>
      </c>
      <c r="B349" s="126" t="s">
        <v>135</v>
      </c>
      <c r="C349" s="127">
        <v>1028</v>
      </c>
      <c r="D349" s="128"/>
      <c r="E349" s="128"/>
      <c r="F349" s="128"/>
      <c r="G349" s="128"/>
      <c r="H349" s="137"/>
      <c r="I349" s="128"/>
      <c r="J349" s="130"/>
      <c r="K349" s="125"/>
      <c r="L349" s="125"/>
    </row>
    <row r="350" spans="1:19" ht="21">
      <c r="A350" s="125">
        <v>25</v>
      </c>
      <c r="B350" s="126" t="s">
        <v>137</v>
      </c>
      <c r="C350" s="127">
        <v>153</v>
      </c>
      <c r="D350" s="128"/>
      <c r="E350" s="128"/>
      <c r="F350" s="128"/>
      <c r="G350" s="128"/>
      <c r="H350" s="137"/>
      <c r="I350" s="128"/>
      <c r="J350" s="130"/>
      <c r="K350" s="125"/>
      <c r="L350" s="125"/>
    </row>
    <row r="351" spans="1:19" ht="21">
      <c r="A351" s="125">
        <v>26</v>
      </c>
      <c r="B351" s="126" t="s">
        <v>138</v>
      </c>
      <c r="C351" s="127">
        <v>8010</v>
      </c>
      <c r="D351" s="128"/>
      <c r="E351" s="128"/>
      <c r="F351" s="128"/>
      <c r="G351" s="128"/>
      <c r="H351" s="137"/>
      <c r="I351" s="128"/>
      <c r="J351" s="130"/>
      <c r="K351" s="125"/>
      <c r="L351" s="125"/>
    </row>
    <row r="352" spans="1:19" ht="21">
      <c r="A352" s="125">
        <v>27</v>
      </c>
      <c r="B352" s="126" t="s">
        <v>134</v>
      </c>
      <c r="C352" s="127">
        <v>544</v>
      </c>
      <c r="D352" s="128"/>
      <c r="E352" s="128"/>
      <c r="F352" s="128"/>
      <c r="G352" s="128"/>
      <c r="H352" s="137">
        <v>544</v>
      </c>
      <c r="I352" s="128">
        <v>544</v>
      </c>
      <c r="J352" s="130"/>
      <c r="K352" s="125">
        <f t="shared" si="39"/>
        <v>0</v>
      </c>
      <c r="L352" s="125"/>
    </row>
    <row r="353" spans="1:12" ht="26.25">
      <c r="A353" s="138"/>
      <c r="B353" s="139" t="s">
        <v>92</v>
      </c>
      <c r="C353" s="140">
        <f>SUM(C327:C352)</f>
        <v>2766069.34</v>
      </c>
      <c r="D353" s="141">
        <f>SUM(D327:D347)</f>
        <v>684600.06</v>
      </c>
      <c r="E353" s="141">
        <f>SUM(E327:E347)</f>
        <v>213</v>
      </c>
      <c r="F353" s="141">
        <f>SUM(F327:F347)</f>
        <v>65184.800000000003</v>
      </c>
      <c r="G353" s="141">
        <f>SUM(G327:G347)</f>
        <v>57820.800000000003</v>
      </c>
      <c r="H353" s="140">
        <f>H327+H328+H329+H330+H331+H332+H333+H334+H335+H336+H337+H338+H339+H340+G341+F342+F343+F344+F345+H346+J338+H347</f>
        <v>2760014.34</v>
      </c>
      <c r="I353" s="142">
        <f>SUM(I327:I352)</f>
        <v>2713995.9800000004</v>
      </c>
      <c r="J353" s="143"/>
      <c r="K353" s="144"/>
      <c r="L353" s="144"/>
    </row>
    <row r="354" spans="1:12">
      <c r="C354" s="14"/>
      <c r="G354" s="14"/>
      <c r="H354" s="14"/>
      <c r="I354" s="14"/>
      <c r="J354" s="14"/>
    </row>
    <row r="355" spans="1:12">
      <c r="C355" s="14"/>
      <c r="H355" s="14"/>
    </row>
    <row r="356" spans="1:12">
      <c r="H356" s="14"/>
    </row>
    <row r="357" spans="1:12" ht="28.5">
      <c r="C357" s="115"/>
      <c r="D357" s="116"/>
      <c r="E357" s="43"/>
      <c r="F357" s="116"/>
    </row>
    <row r="359" spans="1:12">
      <c r="A359" s="303" t="s">
        <v>131</v>
      </c>
      <c r="B359" s="303"/>
      <c r="C359" s="303"/>
      <c r="D359" s="303"/>
      <c r="E359" s="303"/>
      <c r="F359" s="303"/>
      <c r="G359" s="303"/>
      <c r="H359" s="303"/>
      <c r="I359" s="303"/>
      <c r="J359" s="303"/>
      <c r="K359" s="303"/>
      <c r="L359" s="303"/>
    </row>
    <row r="360" spans="1:12">
      <c r="A360" s="303"/>
      <c r="B360" s="303"/>
      <c r="C360" s="303"/>
      <c r="D360" s="303"/>
      <c r="E360" s="303"/>
      <c r="F360" s="303"/>
      <c r="G360" s="303"/>
      <c r="H360" s="303"/>
      <c r="I360" s="303"/>
      <c r="J360" s="303"/>
      <c r="K360" s="303"/>
      <c r="L360" s="303"/>
    </row>
    <row r="361" spans="1:12" ht="19.5">
      <c r="A361" s="80" t="s">
        <v>75</v>
      </c>
      <c r="B361" s="80" t="s">
        <v>76</v>
      </c>
      <c r="C361" s="80" t="s">
        <v>77</v>
      </c>
      <c r="D361" s="80" t="s">
        <v>98</v>
      </c>
      <c r="E361" s="80" t="s">
        <v>79</v>
      </c>
      <c r="F361" s="80" t="s">
        <v>80</v>
      </c>
      <c r="G361" s="80" t="s">
        <v>57</v>
      </c>
      <c r="H361" s="80" t="s">
        <v>81</v>
      </c>
      <c r="I361" s="80" t="s">
        <v>126</v>
      </c>
      <c r="J361" s="80" t="s">
        <v>99</v>
      </c>
      <c r="K361" s="80" t="s">
        <v>47</v>
      </c>
      <c r="L361" s="80" t="s">
        <v>84</v>
      </c>
    </row>
    <row r="362" spans="1:12" ht="21">
      <c r="A362" s="82">
        <v>1</v>
      </c>
      <c r="B362" s="83" t="s">
        <v>13</v>
      </c>
      <c r="C362" s="106">
        <v>35470</v>
      </c>
      <c r="D362" s="62"/>
      <c r="E362" s="62"/>
      <c r="F362" s="62"/>
      <c r="G362" s="62">
        <v>370</v>
      </c>
      <c r="H362" s="63">
        <f>(C362+E362+F362)-G362</f>
        <v>35100</v>
      </c>
      <c r="I362" s="62">
        <v>35044</v>
      </c>
      <c r="J362" s="76"/>
      <c r="K362" s="77">
        <f>H362-I362</f>
        <v>56</v>
      </c>
      <c r="L362" s="82"/>
    </row>
    <row r="363" spans="1:12" ht="21">
      <c r="A363" s="82">
        <v>3</v>
      </c>
      <c r="B363" s="83" t="s">
        <v>101</v>
      </c>
      <c r="C363" s="106">
        <v>52136</v>
      </c>
      <c r="D363" s="62"/>
      <c r="E363" s="62">
        <f>115+98</f>
        <v>213</v>
      </c>
      <c r="F363" s="62">
        <f>4612+4741+370</f>
        <v>9723</v>
      </c>
      <c r="G363" s="62">
        <f>3880+5175</f>
        <v>9055</v>
      </c>
      <c r="H363" s="63">
        <f>(C363+E363+F363)-G363</f>
        <v>53017</v>
      </c>
      <c r="I363" s="62">
        <v>53199</v>
      </c>
      <c r="J363" s="76"/>
      <c r="K363" s="77">
        <f>H363-I363</f>
        <v>-182</v>
      </c>
      <c r="L363" s="82"/>
    </row>
    <row r="364" spans="1:12" ht="21">
      <c r="A364" s="82">
        <v>4</v>
      </c>
      <c r="B364" s="83" t="s">
        <v>48</v>
      </c>
      <c r="C364" s="106">
        <v>3560</v>
      </c>
      <c r="D364" s="62"/>
      <c r="E364" s="62"/>
      <c r="F364" s="62"/>
      <c r="G364" s="62"/>
      <c r="H364" s="63">
        <f>C364+D364+E364+F364-G364</f>
        <v>3560</v>
      </c>
      <c r="I364" s="62">
        <v>3560</v>
      </c>
      <c r="J364" s="76"/>
      <c r="K364" s="77">
        <f t="shared" ref="K364:K381" si="42">H364-I364</f>
        <v>0</v>
      </c>
      <c r="L364" s="82"/>
    </row>
    <row r="365" spans="1:12" ht="21">
      <c r="A365" s="82">
        <v>5</v>
      </c>
      <c r="B365" s="83" t="s">
        <v>49</v>
      </c>
      <c r="C365" s="106">
        <v>4232.3999999999996</v>
      </c>
      <c r="D365" s="62"/>
      <c r="E365" s="62"/>
      <c r="F365" s="62"/>
      <c r="G365" s="62"/>
      <c r="H365" s="63">
        <f>C365+D365+E365+F365-G365</f>
        <v>4232.3999999999996</v>
      </c>
      <c r="I365" s="62">
        <v>4232.3999999999996</v>
      </c>
      <c r="J365" s="76"/>
      <c r="K365" s="77">
        <f t="shared" si="42"/>
        <v>0</v>
      </c>
      <c r="L365" s="82"/>
    </row>
    <row r="366" spans="1:12" ht="21">
      <c r="A366" s="82">
        <v>6</v>
      </c>
      <c r="B366" s="83" t="s">
        <v>50</v>
      </c>
      <c r="C366" s="106">
        <v>58760.04</v>
      </c>
      <c r="D366" s="62"/>
      <c r="E366" s="62"/>
      <c r="F366" s="62"/>
      <c r="G366" s="62"/>
      <c r="H366" s="63">
        <f>C366+D366+E366+F366-G366</f>
        <v>58760.04</v>
      </c>
      <c r="I366" s="62">
        <v>33452</v>
      </c>
      <c r="J366" s="76"/>
      <c r="K366" s="109">
        <f t="shared" si="42"/>
        <v>25308.04</v>
      </c>
      <c r="L366" s="110" t="e">
        <f>(-problem)</f>
        <v>#NAME?</v>
      </c>
    </row>
    <row r="367" spans="1:12" ht="21">
      <c r="A367" s="82">
        <v>7</v>
      </c>
      <c r="B367" s="83" t="s">
        <v>51</v>
      </c>
      <c r="C367" s="106">
        <v>279127</v>
      </c>
      <c r="D367" s="62"/>
      <c r="E367" s="62"/>
      <c r="F367" s="62"/>
      <c r="G367" s="62"/>
      <c r="H367" s="63">
        <f>C367+D367+E367+F367-G367</f>
        <v>279127</v>
      </c>
      <c r="I367" s="62">
        <v>279127</v>
      </c>
      <c r="J367" s="76"/>
      <c r="K367" s="109">
        <f t="shared" si="42"/>
        <v>0</v>
      </c>
      <c r="L367" s="82"/>
    </row>
    <row r="368" spans="1:12" ht="21">
      <c r="A368" s="82">
        <v>8</v>
      </c>
      <c r="B368" s="83" t="s">
        <v>52</v>
      </c>
      <c r="C368" s="106">
        <v>9066.44</v>
      </c>
      <c r="D368" s="62"/>
      <c r="E368" s="62"/>
      <c r="F368" s="62"/>
      <c r="G368" s="62"/>
      <c r="H368" s="63">
        <f>C368+D368+E368+F368-G368</f>
        <v>9066.44</v>
      </c>
      <c r="I368" s="63">
        <v>9066.4</v>
      </c>
      <c r="J368" s="76"/>
      <c r="K368" s="109">
        <f t="shared" si="42"/>
        <v>4.0000000000873115E-2</v>
      </c>
      <c r="L368" s="62"/>
    </row>
    <row r="369" spans="1:12" ht="21">
      <c r="A369" s="82">
        <v>9</v>
      </c>
      <c r="B369" s="83" t="s">
        <v>53</v>
      </c>
      <c r="C369" s="106">
        <v>64345.2</v>
      </c>
      <c r="D369" s="62"/>
      <c r="E369" s="62"/>
      <c r="F369" s="62">
        <f>3385.8+4704</f>
        <v>8089.8</v>
      </c>
      <c r="G369" s="62"/>
      <c r="H369" s="63">
        <f>C369+F369</f>
        <v>72435</v>
      </c>
      <c r="I369" s="62">
        <f>71633+196+60+546</f>
        <v>72435</v>
      </c>
      <c r="J369" s="76"/>
      <c r="K369" s="109">
        <f t="shared" si="42"/>
        <v>0</v>
      </c>
      <c r="L369" s="82"/>
    </row>
    <row r="370" spans="1:12" ht="21">
      <c r="A370" s="82">
        <v>10</v>
      </c>
      <c r="B370" s="83" t="s">
        <v>54</v>
      </c>
      <c r="C370" s="106">
        <v>8711.94</v>
      </c>
      <c r="D370" s="62"/>
      <c r="E370" s="62"/>
      <c r="F370" s="62"/>
      <c r="G370" s="62"/>
      <c r="H370" s="63">
        <f>C370+D370+E370+F370-G370</f>
        <v>8711.94</v>
      </c>
      <c r="I370" s="62">
        <v>8711.9</v>
      </c>
      <c r="J370" s="76"/>
      <c r="K370" s="109">
        <f t="shared" si="42"/>
        <v>4.0000000000873115E-2</v>
      </c>
      <c r="L370" s="82"/>
    </row>
    <row r="371" spans="1:12" ht="21">
      <c r="A371" s="82">
        <v>11</v>
      </c>
      <c r="B371" s="83" t="s">
        <v>55</v>
      </c>
      <c r="C371" s="106">
        <v>600762.5</v>
      </c>
      <c r="D371" s="62"/>
      <c r="E371" s="62"/>
      <c r="F371" s="62"/>
      <c r="G371" s="62">
        <f>5131+1100+111+3100+74+40+4107+1750+825+6+1100+1332+450+418+20+6578.5</f>
        <v>26142.5</v>
      </c>
      <c r="H371" s="63">
        <f>C371+D371+E371+F371-G371</f>
        <v>574620</v>
      </c>
      <c r="I371" s="62">
        <v>574676</v>
      </c>
      <c r="J371" s="76"/>
      <c r="K371" s="82">
        <f t="shared" si="42"/>
        <v>-56</v>
      </c>
      <c r="L371" s="82"/>
    </row>
    <row r="372" spans="1:12" ht="21">
      <c r="A372" s="82">
        <v>12</v>
      </c>
      <c r="B372" s="83" t="s">
        <v>61</v>
      </c>
      <c r="C372" s="106">
        <v>13675.82</v>
      </c>
      <c r="D372" s="62"/>
      <c r="E372" s="62"/>
      <c r="F372" s="62"/>
      <c r="G372" s="62"/>
      <c r="H372" s="63">
        <f>C372+D372+E372+F372-G372</f>
        <v>13675.82</v>
      </c>
      <c r="I372" s="62">
        <v>13675.8</v>
      </c>
      <c r="J372" s="76"/>
      <c r="K372" s="77">
        <f t="shared" si="42"/>
        <v>2.0000000000436557E-2</v>
      </c>
      <c r="L372" s="82"/>
    </row>
    <row r="373" spans="1:12" ht="21">
      <c r="A373" s="82">
        <v>13</v>
      </c>
      <c r="B373" s="83" t="s">
        <v>114</v>
      </c>
      <c r="C373" s="106">
        <v>903683</v>
      </c>
      <c r="D373" s="62"/>
      <c r="E373" s="62"/>
      <c r="F373" s="62">
        <f>4215.5+5131+1100+111+3100+74+40+4107+1750+825+6+1100+1332+450+418+20</f>
        <v>23779.5</v>
      </c>
      <c r="G373" s="62">
        <f>4612+3385.8+170+255+170</f>
        <v>8592.7999999999993</v>
      </c>
      <c r="H373" s="63">
        <f>(C373+F373)-(G373+J373+F380)</f>
        <v>893690.7</v>
      </c>
      <c r="I373" s="62">
        <f>883176.42+10514</f>
        <v>893690.42</v>
      </c>
      <c r="J373" s="76">
        <f>9465+8350</f>
        <v>17815</v>
      </c>
      <c r="K373" s="89">
        <f t="shared" si="42"/>
        <v>0.27999999991152436</v>
      </c>
      <c r="L373" s="112"/>
    </row>
    <row r="374" spans="1:12" ht="21">
      <c r="A374" s="82">
        <v>14</v>
      </c>
      <c r="B374" s="83" t="s">
        <v>115</v>
      </c>
      <c r="C374" s="120">
        <v>682073</v>
      </c>
      <c r="D374" s="121">
        <v>684600.06</v>
      </c>
      <c r="E374" s="62"/>
      <c r="F374" s="62">
        <f>3880+5175+6578.5</f>
        <v>15633.5</v>
      </c>
      <c r="G374" s="62">
        <f>4704+4741</f>
        <v>9445</v>
      </c>
      <c r="H374" s="63">
        <f>(C374+F374)-G374</f>
        <v>688261.5</v>
      </c>
      <c r="I374" s="62">
        <v>688261.06</v>
      </c>
      <c r="J374" s="76"/>
      <c r="K374" s="89">
        <f t="shared" si="42"/>
        <v>0.43999999994412065</v>
      </c>
      <c r="L374" s="82"/>
    </row>
    <row r="375" spans="1:12" ht="21">
      <c r="A375" s="82">
        <v>15</v>
      </c>
      <c r="B375" s="83" t="s">
        <v>70</v>
      </c>
      <c r="C375" s="106">
        <v>12656</v>
      </c>
      <c r="D375" s="62"/>
      <c r="E375" s="62"/>
      <c r="F375" s="62"/>
      <c r="G375" s="62"/>
      <c r="H375" s="63">
        <f>C375+D375+E375+F375-G375</f>
        <v>12656</v>
      </c>
      <c r="I375" s="62">
        <v>12656</v>
      </c>
      <c r="J375" s="76"/>
      <c r="K375" s="89">
        <f t="shared" si="42"/>
        <v>0</v>
      </c>
      <c r="L375" s="82"/>
    </row>
    <row r="376" spans="1:12" ht="21">
      <c r="A376" s="82">
        <v>16</v>
      </c>
      <c r="B376" s="83" t="s">
        <v>90</v>
      </c>
      <c r="C376" s="106">
        <f>4216</f>
        <v>4216</v>
      </c>
      <c r="D376" s="106"/>
      <c r="E376" s="62"/>
      <c r="F376" s="62"/>
      <c r="G376" s="62">
        <f>4215.5</f>
        <v>4215.5</v>
      </c>
      <c r="H376" s="63"/>
      <c r="I376" s="62"/>
      <c r="J376" s="76"/>
      <c r="K376" s="82">
        <f t="shared" si="42"/>
        <v>0</v>
      </c>
      <c r="L376" s="82"/>
    </row>
    <row r="377" spans="1:12" ht="21">
      <c r="A377" s="82">
        <v>17</v>
      </c>
      <c r="B377" s="83" t="s">
        <v>117</v>
      </c>
      <c r="C377" s="106"/>
      <c r="D377" s="62"/>
      <c r="E377" s="62"/>
      <c r="F377" s="62">
        <v>170</v>
      </c>
      <c r="G377" s="62"/>
      <c r="H377" s="63"/>
      <c r="I377" s="62"/>
      <c r="J377" s="76"/>
      <c r="K377" s="82">
        <f t="shared" si="42"/>
        <v>0</v>
      </c>
      <c r="L377" s="82"/>
    </row>
    <row r="378" spans="1:12" ht="21">
      <c r="A378" s="82">
        <v>18</v>
      </c>
      <c r="B378" s="83" t="s">
        <v>118</v>
      </c>
      <c r="C378" s="106"/>
      <c r="D378" s="62"/>
      <c r="E378" s="62"/>
      <c r="F378" s="62">
        <v>255</v>
      </c>
      <c r="G378" s="62"/>
      <c r="H378" s="63"/>
      <c r="I378" s="62"/>
      <c r="J378" s="76"/>
      <c r="K378" s="82">
        <f t="shared" si="42"/>
        <v>0</v>
      </c>
      <c r="L378" s="82"/>
    </row>
    <row r="379" spans="1:12" ht="21">
      <c r="A379" s="82">
        <v>19</v>
      </c>
      <c r="B379" s="83" t="s">
        <v>119</v>
      </c>
      <c r="C379" s="106"/>
      <c r="D379" s="62"/>
      <c r="E379" s="62"/>
      <c r="F379" s="62">
        <v>170</v>
      </c>
      <c r="G379" s="62"/>
      <c r="H379" s="63"/>
      <c r="I379" s="62"/>
      <c r="J379" s="76"/>
      <c r="K379" s="82">
        <f t="shared" si="42"/>
        <v>0</v>
      </c>
      <c r="L379" s="82"/>
    </row>
    <row r="380" spans="1:12" ht="21">
      <c r="A380" s="82">
        <v>20</v>
      </c>
      <c r="B380" s="83" t="s">
        <v>120</v>
      </c>
      <c r="C380" s="106"/>
      <c r="D380" s="62"/>
      <c r="E380" s="62"/>
      <c r="F380" s="62">
        <v>7364</v>
      </c>
      <c r="G380" s="62"/>
      <c r="H380" s="63"/>
      <c r="I380" s="62"/>
      <c r="J380" s="76"/>
      <c r="K380" s="82">
        <f t="shared" si="42"/>
        <v>0</v>
      </c>
      <c r="L380" s="82"/>
    </row>
    <row r="381" spans="1:12" ht="21">
      <c r="A381" s="82">
        <v>21</v>
      </c>
      <c r="B381" s="83" t="s">
        <v>91</v>
      </c>
      <c r="C381" s="106"/>
      <c r="D381" s="62"/>
      <c r="E381" s="62"/>
      <c r="F381" s="62"/>
      <c r="G381" s="62"/>
      <c r="H381" s="63"/>
      <c r="I381" s="62"/>
      <c r="J381" s="76"/>
      <c r="K381" s="82">
        <f t="shared" si="42"/>
        <v>0</v>
      </c>
      <c r="L381" s="82"/>
    </row>
    <row r="382" spans="1:12" ht="26.25">
      <c r="A382" s="79"/>
      <c r="B382" s="81" t="s">
        <v>92</v>
      </c>
      <c r="C382" s="84">
        <f>SUM(C362:C381)</f>
        <v>2732475.34</v>
      </c>
      <c r="D382" s="85">
        <f t="shared" ref="D382:E382" si="43">SUM(D362:D381)</f>
        <v>684600.06</v>
      </c>
      <c r="E382" s="85">
        <f t="shared" si="43"/>
        <v>213</v>
      </c>
      <c r="F382" s="85">
        <f>SUM(F362:F381)</f>
        <v>65184.800000000003</v>
      </c>
      <c r="G382" s="85">
        <f>SUM(G362:G381)</f>
        <v>57820.800000000003</v>
      </c>
      <c r="H382" s="84">
        <f>H362+H363+H364+H365+H366+H367+H368+H369+H370+H371+H372+H373+H374+H375+G376+F377+F378+F379+F380</f>
        <v>2719088.34</v>
      </c>
      <c r="I382" s="62">
        <f>I362+I363+I364+I365+I366+K366+I367+I368+I369+I370+I371+I372+I373+I374+I375+J373+F380</f>
        <v>2732274.02</v>
      </c>
      <c r="J382" s="78"/>
      <c r="K382" s="75"/>
      <c r="L382" s="75"/>
    </row>
    <row r="383" spans="1:12">
      <c r="C383" s="14">
        <f>C382-K366</f>
        <v>2707167.3</v>
      </c>
      <c r="G383" s="14"/>
      <c r="H383" s="14"/>
      <c r="I383" s="14">
        <f>C382-I382</f>
        <v>201.31999999983236</v>
      </c>
      <c r="J383" s="14"/>
    </row>
    <row r="386" spans="1:12" ht="19.5">
      <c r="A386" s="80" t="s">
        <v>75</v>
      </c>
      <c r="B386" s="80" t="s">
        <v>76</v>
      </c>
      <c r="C386" s="80" t="s">
        <v>77</v>
      </c>
      <c r="D386" s="154" t="s">
        <v>139</v>
      </c>
      <c r="E386" s="80" t="s">
        <v>79</v>
      </c>
      <c r="F386" s="80" t="s">
        <v>80</v>
      </c>
      <c r="G386" s="80" t="s">
        <v>57</v>
      </c>
      <c r="H386" s="80" t="s">
        <v>81</v>
      </c>
      <c r="I386" s="80" t="s">
        <v>126</v>
      </c>
      <c r="J386" s="80" t="s">
        <v>99</v>
      </c>
      <c r="K386" s="80" t="s">
        <v>47</v>
      </c>
      <c r="L386" s="80" t="s">
        <v>84</v>
      </c>
    </row>
    <row r="387" spans="1:12" ht="21">
      <c r="A387" s="82">
        <v>1</v>
      </c>
      <c r="B387" s="83" t="s">
        <v>13</v>
      </c>
      <c r="C387" s="106">
        <f>4309.35+1928.5+1946.5+2075+82.4+105+430+8559.5+4135.3+3798+1450+1817.35+221+1680+2260+21+226</f>
        <v>35044.899999999994</v>
      </c>
      <c r="D387" s="62">
        <v>17041.8</v>
      </c>
      <c r="E387" s="62"/>
      <c r="F387" s="62"/>
      <c r="G387" s="62"/>
      <c r="H387" s="63"/>
      <c r="I387" s="62"/>
      <c r="J387" s="76"/>
      <c r="K387" s="77">
        <f>H387-I387</f>
        <v>0</v>
      </c>
      <c r="L387" s="122"/>
    </row>
    <row r="388" spans="1:12" ht="21">
      <c r="A388" s="82">
        <v>2</v>
      </c>
      <c r="B388" s="83" t="s">
        <v>101</v>
      </c>
      <c r="C388" s="106">
        <f>25961+23199+4625+1360+3010+192+2940+4355+4349+8636+21736+10547+4747+339+350+66</f>
        <v>116412</v>
      </c>
      <c r="D388" s="62"/>
      <c r="E388" s="62"/>
      <c r="F388" s="62"/>
      <c r="G388" s="62"/>
      <c r="H388" s="63"/>
      <c r="I388" s="62"/>
      <c r="J388" s="76"/>
      <c r="K388" s="77">
        <f t="shared" ref="K388:K402" si="44">H388-I388</f>
        <v>0</v>
      </c>
      <c r="L388" s="82"/>
    </row>
    <row r="389" spans="1:12" ht="21">
      <c r="A389" s="82">
        <v>3</v>
      </c>
      <c r="B389" s="83" t="s">
        <v>140</v>
      </c>
      <c r="C389" s="106">
        <f>14973+7562+2701+1836+605+297+650+650+960+3570+3500+2243</f>
        <v>39547</v>
      </c>
      <c r="D389" s="62"/>
      <c r="E389" s="62"/>
      <c r="F389" s="62"/>
      <c r="G389" s="62"/>
      <c r="H389" s="63"/>
      <c r="I389" s="62"/>
      <c r="J389" s="76"/>
      <c r="K389" s="77"/>
      <c r="L389" s="82"/>
    </row>
    <row r="390" spans="1:12" ht="21">
      <c r="A390" s="82">
        <v>4</v>
      </c>
      <c r="B390" s="83" t="s">
        <v>48</v>
      </c>
      <c r="C390" s="106">
        <f>94+445+85+520+100+28+3+550+15+48+36+92+78+1257+207+2</f>
        <v>3560</v>
      </c>
      <c r="D390" s="62"/>
      <c r="E390" s="62"/>
      <c r="F390" s="62"/>
      <c r="G390" s="62"/>
      <c r="H390" s="63"/>
      <c r="I390" s="62"/>
      <c r="J390" s="76"/>
      <c r="K390" s="77">
        <f t="shared" si="44"/>
        <v>0</v>
      </c>
      <c r="L390" s="82"/>
    </row>
    <row r="391" spans="1:12" ht="21">
      <c r="A391" s="82">
        <v>5</v>
      </c>
      <c r="B391" s="83" t="s">
        <v>49</v>
      </c>
      <c r="C391" s="106">
        <f>86+444+119+390+101.4+16+2+550+10+48+709+196+87+1256+171+46+1</f>
        <v>4232.3999999999996</v>
      </c>
      <c r="D391" s="62"/>
      <c r="E391" s="62"/>
      <c r="F391" s="62"/>
      <c r="G391" s="62"/>
      <c r="H391" s="63"/>
      <c r="I391" s="62"/>
      <c r="J391" s="76"/>
      <c r="K391" s="77">
        <f t="shared" si="44"/>
        <v>0</v>
      </c>
      <c r="L391" s="82"/>
    </row>
    <row r="392" spans="1:12" ht="21">
      <c r="A392" s="82">
        <v>6</v>
      </c>
      <c r="B392" s="83" t="s">
        <v>50</v>
      </c>
      <c r="C392" s="106">
        <f>2257+102+1045.8+30+274.4+4467.75+7365.56+10200+18+19500.25+1813+4944.48+1184.2+193.2+1002.8+1411.8</f>
        <v>55810.240000000005</v>
      </c>
      <c r="D392" s="62">
        <v>29398.45</v>
      </c>
      <c r="E392" s="62"/>
      <c r="F392" s="62"/>
      <c r="G392" s="62"/>
      <c r="H392" s="63"/>
      <c r="I392" s="62"/>
      <c r="J392" s="76"/>
      <c r="K392" s="77">
        <f t="shared" si="44"/>
        <v>0</v>
      </c>
      <c r="L392" s="110"/>
    </row>
    <row r="393" spans="1:12" ht="21">
      <c r="A393" s="82">
        <v>7</v>
      </c>
      <c r="B393" s="83" t="s">
        <v>51</v>
      </c>
      <c r="C393" s="106">
        <f>61437.4+53469+23643+255+9510+1056.6+480+11225+1002+8336+8558+20577+42645+22089+12468+470+2622+303.75+2168.4</f>
        <v>282315.15000000002</v>
      </c>
      <c r="D393" s="62"/>
      <c r="E393" s="62"/>
      <c r="F393" s="62"/>
      <c r="G393" s="62"/>
      <c r="H393" s="63"/>
      <c r="I393" s="62"/>
      <c r="J393" s="76"/>
      <c r="K393" s="77">
        <f t="shared" si="44"/>
        <v>0</v>
      </c>
      <c r="L393" s="82"/>
    </row>
    <row r="394" spans="1:12" ht="21">
      <c r="A394" s="110">
        <v>8</v>
      </c>
      <c r="B394" s="155" t="s">
        <v>52</v>
      </c>
      <c r="C394" s="121">
        <f>2460.5+795.6+245.25+79.2+31.09+15+198+3983.89+361.51+399+782.4</f>
        <v>9351.44</v>
      </c>
      <c r="D394" s="156">
        <v>5286.36</v>
      </c>
      <c r="E394" s="62"/>
      <c r="F394" s="62"/>
      <c r="G394" s="62"/>
      <c r="H394" s="63"/>
      <c r="I394" s="62"/>
      <c r="J394" s="76"/>
      <c r="K394" s="77">
        <f t="shared" si="44"/>
        <v>0</v>
      </c>
      <c r="L394" s="62"/>
    </row>
    <row r="395" spans="1:12" ht="21">
      <c r="A395" s="159">
        <v>9</v>
      </c>
      <c r="B395" s="157" t="s">
        <v>53</v>
      </c>
      <c r="C395" s="158">
        <f>21431+16866+9953+255+3275+727.8+1400+3450+232+2812+6756+13792+9065+3685+80+433+196+60+546</f>
        <v>95014.8</v>
      </c>
      <c r="D395" s="62"/>
      <c r="E395" s="62"/>
      <c r="F395" s="62"/>
      <c r="G395" s="62"/>
      <c r="H395" s="63"/>
      <c r="I395" s="62"/>
      <c r="J395" s="76"/>
      <c r="K395" s="77">
        <f t="shared" si="44"/>
        <v>0</v>
      </c>
      <c r="L395" s="82"/>
    </row>
    <row r="396" spans="1:12" ht="21">
      <c r="A396" s="110">
        <v>10</v>
      </c>
      <c r="B396" s="155" t="s">
        <v>54</v>
      </c>
      <c r="C396" s="121">
        <f>34+1655+43.8+395+1745+2711+7+414+366+4.34+100+526+338.8+372</f>
        <v>8711.94</v>
      </c>
      <c r="D396" s="156">
        <f>293.9+205</f>
        <v>498.9</v>
      </c>
      <c r="E396" s="62"/>
      <c r="F396" s="62"/>
      <c r="G396" s="62"/>
      <c r="H396" s="63"/>
      <c r="I396" s="62"/>
      <c r="J396" s="76"/>
      <c r="K396" s="77">
        <f t="shared" si="44"/>
        <v>0</v>
      </c>
      <c r="L396" s="82"/>
    </row>
    <row r="397" spans="1:12" ht="21">
      <c r="A397" s="82">
        <v>11</v>
      </c>
      <c r="B397" s="83" t="s">
        <v>55</v>
      </c>
      <c r="C397" s="106">
        <f>169354+8513+92056+20511+47710+12200+7392+28750+25480+561+1200+16561+34876+90+70494+41656+281+12858+4465+300+690+10+71</f>
        <v>596079</v>
      </c>
      <c r="D397" s="62"/>
      <c r="E397" s="62"/>
      <c r="F397" s="62"/>
      <c r="G397" s="62"/>
      <c r="H397" s="63"/>
      <c r="I397" s="62"/>
      <c r="J397" s="76"/>
      <c r="K397" s="77">
        <f t="shared" si="44"/>
        <v>0</v>
      </c>
      <c r="L397" s="82"/>
    </row>
    <row r="398" spans="1:12" ht="21">
      <c r="A398" s="82">
        <v>12</v>
      </c>
      <c r="B398" s="83" t="s">
        <v>61</v>
      </c>
      <c r="C398" s="106"/>
      <c r="D398" s="62"/>
      <c r="E398" s="62"/>
      <c r="F398" s="62"/>
      <c r="G398" s="62"/>
      <c r="H398" s="63"/>
      <c r="I398" s="62"/>
      <c r="J398" s="76"/>
      <c r="K398" s="77">
        <f t="shared" si="44"/>
        <v>0</v>
      </c>
      <c r="L398" s="82"/>
    </row>
    <row r="399" spans="1:12" ht="21">
      <c r="A399" s="82">
        <v>13</v>
      </c>
      <c r="B399" s="83" t="s">
        <v>114</v>
      </c>
      <c r="C399" s="106">
        <f>186841.28+47985.5+118408.8+5060.6+70741.5+6249.94+4185.9+21883.7+3511.2+7126.4+12512+1263+118023+7993+65162.75+43563.79+13165.66+47014.85+2544.75+8013+2628+2829+681.8+2225.2+4598.4</f>
        <v>804213.02000000014</v>
      </c>
      <c r="D399" s="62"/>
      <c r="E399" s="62"/>
      <c r="F399" s="62"/>
      <c r="G399" s="62"/>
      <c r="H399" s="63"/>
      <c r="I399" s="62"/>
      <c r="J399" s="76"/>
      <c r="K399" s="77">
        <f t="shared" si="44"/>
        <v>0</v>
      </c>
      <c r="L399" s="112"/>
    </row>
    <row r="400" spans="1:12" ht="21">
      <c r="A400" s="82">
        <v>14</v>
      </c>
      <c r="B400" s="83" t="s">
        <v>115</v>
      </c>
      <c r="C400" s="106"/>
      <c r="D400" s="121"/>
      <c r="E400" s="62"/>
      <c r="F400" s="62"/>
      <c r="G400" s="62"/>
      <c r="H400" s="63"/>
      <c r="I400" s="62"/>
      <c r="J400" s="76"/>
      <c r="K400" s="77">
        <f t="shared" si="44"/>
        <v>0</v>
      </c>
      <c r="L400" s="82"/>
    </row>
    <row r="401" spans="1:12" ht="21">
      <c r="A401" s="82">
        <v>15</v>
      </c>
      <c r="B401" s="83" t="s">
        <v>70</v>
      </c>
      <c r="C401" s="106">
        <f>2435+740+200+48+90+640+1072+3037+7010+3405+733+10</f>
        <v>19420</v>
      </c>
      <c r="D401" s="62"/>
      <c r="E401" s="62"/>
      <c r="F401" s="62"/>
      <c r="G401" s="62"/>
      <c r="H401" s="63"/>
      <c r="I401" s="62"/>
      <c r="J401" s="76"/>
      <c r="K401" s="77">
        <f t="shared" si="44"/>
        <v>0</v>
      </c>
      <c r="L401" s="82"/>
    </row>
    <row r="402" spans="1:12" ht="21">
      <c r="A402" s="82">
        <v>17</v>
      </c>
      <c r="B402" s="83" t="s">
        <v>90</v>
      </c>
      <c r="C402" s="106">
        <v>16308</v>
      </c>
      <c r="D402" s="62"/>
      <c r="E402" s="62"/>
      <c r="F402" s="62"/>
      <c r="G402" s="62"/>
      <c r="H402" s="63"/>
      <c r="I402" s="62"/>
      <c r="J402" s="76"/>
      <c r="K402" s="77">
        <f t="shared" si="44"/>
        <v>0</v>
      </c>
      <c r="L402" s="82"/>
    </row>
    <row r="403" spans="1:12" ht="21">
      <c r="A403" s="82">
        <v>18</v>
      </c>
      <c r="B403" s="83" t="s">
        <v>117</v>
      </c>
      <c r="C403" s="158">
        <v>170</v>
      </c>
      <c r="D403" s="62"/>
      <c r="E403" s="62"/>
      <c r="F403" s="62"/>
      <c r="G403" s="62"/>
      <c r="H403" s="63"/>
      <c r="I403" s="62"/>
      <c r="J403" s="76"/>
      <c r="K403" s="77">
        <f>H403-I404</f>
        <v>0</v>
      </c>
      <c r="L403" s="82"/>
    </row>
    <row r="404" spans="1:12" ht="21">
      <c r="A404" s="82">
        <v>19</v>
      </c>
      <c r="B404" s="83" t="s">
        <v>118</v>
      </c>
      <c r="C404" s="158">
        <v>255</v>
      </c>
      <c r="D404" s="62"/>
      <c r="E404" s="62"/>
      <c r="F404" s="62"/>
      <c r="G404" s="62"/>
      <c r="H404" s="63"/>
      <c r="I404" s="62"/>
      <c r="J404" s="76"/>
      <c r="K404" s="77">
        <f>H404-I405</f>
        <v>0</v>
      </c>
      <c r="L404" s="82"/>
    </row>
    <row r="405" spans="1:12" ht="21">
      <c r="A405" s="82">
        <v>20</v>
      </c>
      <c r="B405" s="83" t="s">
        <v>119</v>
      </c>
      <c r="C405" s="158">
        <v>170</v>
      </c>
      <c r="D405" s="62"/>
      <c r="E405" s="62"/>
      <c r="F405" s="62"/>
      <c r="G405" s="62"/>
      <c r="H405" s="63"/>
      <c r="I405" s="62"/>
      <c r="J405" s="76"/>
      <c r="K405" s="77">
        <f>H405-I406</f>
        <v>0</v>
      </c>
      <c r="L405" s="82"/>
    </row>
    <row r="406" spans="1:12" ht="21">
      <c r="A406" s="82">
        <v>21</v>
      </c>
      <c r="B406" s="83" t="s">
        <v>120</v>
      </c>
      <c r="C406" s="160">
        <v>7364</v>
      </c>
      <c r="D406" s="62"/>
      <c r="E406" s="62"/>
      <c r="F406" s="62"/>
      <c r="G406" s="62"/>
      <c r="H406" s="63"/>
      <c r="I406" s="62"/>
      <c r="J406" s="76"/>
      <c r="K406" s="77">
        <f>H406-I407</f>
        <v>0</v>
      </c>
      <c r="L406" s="82"/>
    </row>
    <row r="407" spans="1:12" ht="21">
      <c r="A407" s="82">
        <v>22</v>
      </c>
      <c r="B407" s="157" t="s">
        <v>132</v>
      </c>
      <c r="C407" s="106">
        <v>6803</v>
      </c>
      <c r="D407" s="62"/>
      <c r="E407" s="62"/>
      <c r="F407" s="62"/>
      <c r="G407" s="62"/>
      <c r="H407" s="63"/>
      <c r="I407" s="62"/>
      <c r="J407" s="76"/>
      <c r="K407" s="77"/>
      <c r="L407" s="82"/>
    </row>
    <row r="408" spans="1:12" ht="21">
      <c r="A408" s="82">
        <v>23</v>
      </c>
      <c r="B408" s="157" t="s">
        <v>133</v>
      </c>
      <c r="C408" s="106">
        <v>16308</v>
      </c>
      <c r="D408" s="62"/>
      <c r="E408" s="62"/>
      <c r="F408" s="62"/>
      <c r="G408" s="62"/>
      <c r="H408" s="63"/>
      <c r="I408" s="62"/>
      <c r="J408" s="76"/>
      <c r="K408" s="77"/>
      <c r="L408" s="82"/>
    </row>
    <row r="409" spans="1:12" ht="21">
      <c r="A409" s="82">
        <v>24</v>
      </c>
      <c r="B409" s="157" t="s">
        <v>136</v>
      </c>
      <c r="C409" s="106">
        <v>153</v>
      </c>
      <c r="D409" s="62"/>
      <c r="E409" s="62"/>
      <c r="F409" s="62"/>
      <c r="G409" s="62"/>
      <c r="H409" s="63"/>
      <c r="I409" s="62"/>
      <c r="J409" s="76"/>
      <c r="K409" s="77"/>
      <c r="L409" s="82"/>
    </row>
    <row r="410" spans="1:12" ht="21">
      <c r="A410" s="82">
        <v>25</v>
      </c>
      <c r="B410" s="157" t="s">
        <v>135</v>
      </c>
      <c r="C410" s="106">
        <v>1028</v>
      </c>
      <c r="D410" s="62"/>
      <c r="E410" s="62"/>
      <c r="F410" s="62"/>
      <c r="G410" s="62"/>
      <c r="H410" s="63"/>
      <c r="I410" s="62"/>
      <c r="J410" s="76"/>
      <c r="K410" s="77"/>
      <c r="L410" s="82"/>
    </row>
    <row r="411" spans="1:12" ht="21">
      <c r="A411" s="82">
        <v>26</v>
      </c>
      <c r="B411" s="157" t="s">
        <v>137</v>
      </c>
      <c r="C411" s="106">
        <v>153</v>
      </c>
      <c r="D411" s="62"/>
      <c r="E411" s="62"/>
      <c r="F411" s="62"/>
      <c r="G411" s="62"/>
      <c r="H411" s="63"/>
      <c r="I411" s="62"/>
      <c r="J411" s="76"/>
      <c r="K411" s="77"/>
      <c r="L411" s="82"/>
    </row>
    <row r="412" spans="1:12" ht="21">
      <c r="A412" s="82">
        <v>24</v>
      </c>
      <c r="B412" s="157" t="s">
        <v>138</v>
      </c>
      <c r="C412" s="106">
        <v>8010</v>
      </c>
      <c r="D412" s="62"/>
      <c r="E412" s="62"/>
      <c r="F412" s="62"/>
      <c r="G412" s="62"/>
      <c r="H412" s="63"/>
      <c r="I412" s="62"/>
      <c r="J412" s="76"/>
      <c r="K412" s="77"/>
      <c r="L412" s="82"/>
    </row>
    <row r="413" spans="1:12" ht="26.25">
      <c r="A413" s="79">
        <v>28</v>
      </c>
      <c r="B413" s="157" t="s">
        <v>134</v>
      </c>
      <c r="C413" s="106">
        <v>544</v>
      </c>
      <c r="D413" s="85">
        <f t="shared" ref="D413:E413" si="45">SUM(D387:D406)</f>
        <v>52225.51</v>
      </c>
      <c r="E413" s="85">
        <f t="shared" si="45"/>
        <v>0</v>
      </c>
      <c r="F413" s="85">
        <f>SUM(F387:F406)</f>
        <v>0</v>
      </c>
      <c r="G413" s="85">
        <f>SUM(G387:G406)</f>
        <v>0</v>
      </c>
      <c r="H413" s="84" t="e">
        <f>H387+H388+H390+H391+H392+H393+H394+H395+H396+H397+H398+H399+H400+H401+#REF!+F402+F403+F404+F405</f>
        <v>#REF!</v>
      </c>
      <c r="I413" s="62"/>
      <c r="J413" s="78"/>
      <c r="K413" s="75"/>
      <c r="L413" s="75"/>
    </row>
    <row r="414" spans="1:12" ht="26.25">
      <c r="B414" s="81" t="s">
        <v>92</v>
      </c>
      <c r="C414" s="11" t="s">
        <v>21</v>
      </c>
      <c r="I414" s="62">
        <f>I387+I388+I390+I391+I392+K392+I393+I394+I395+I396+I397+I398+I399+I400+I401+J399+F405</f>
        <v>0</v>
      </c>
    </row>
    <row r="419" spans="1:12">
      <c r="A419" s="304" t="s">
        <v>168</v>
      </c>
      <c r="B419" s="304"/>
      <c r="C419" s="304"/>
      <c r="D419" s="304"/>
      <c r="E419" s="304"/>
      <c r="F419" s="304"/>
      <c r="G419" s="304"/>
      <c r="H419" s="304"/>
      <c r="I419" s="304"/>
      <c r="J419" s="304"/>
      <c r="K419" s="304"/>
      <c r="L419" s="304"/>
    </row>
    <row r="420" spans="1:12">
      <c r="A420" s="304"/>
      <c r="B420" s="304"/>
      <c r="C420" s="304"/>
      <c r="D420" s="304"/>
      <c r="E420" s="304"/>
      <c r="F420" s="304"/>
      <c r="G420" s="304"/>
      <c r="H420" s="304"/>
      <c r="I420" s="304"/>
      <c r="J420" s="304"/>
      <c r="K420" s="304"/>
      <c r="L420" s="304"/>
    </row>
    <row r="421" spans="1:12" ht="19.5">
      <c r="A421" s="124" t="s">
        <v>75</v>
      </c>
      <c r="B421" s="124" t="s">
        <v>76</v>
      </c>
      <c r="C421" s="124" t="s">
        <v>77</v>
      </c>
      <c r="D421" s="124" t="s">
        <v>163</v>
      </c>
      <c r="E421" s="124" t="s">
        <v>79</v>
      </c>
      <c r="F421" s="124" t="s">
        <v>80</v>
      </c>
      <c r="G421" s="124" t="s">
        <v>57</v>
      </c>
      <c r="H421" s="124" t="s">
        <v>81</v>
      </c>
      <c r="I421" s="124" t="s">
        <v>126</v>
      </c>
      <c r="J421" s="124" t="s">
        <v>99</v>
      </c>
      <c r="K421" s="124" t="s">
        <v>47</v>
      </c>
      <c r="L421" s="124" t="s">
        <v>84</v>
      </c>
    </row>
    <row r="422" spans="1:12" ht="21">
      <c r="A422" s="125">
        <v>1</v>
      </c>
      <c r="B422" s="126" t="s">
        <v>13</v>
      </c>
      <c r="C422" s="127">
        <f>'SFBL-PB'!J32</f>
        <v>33148.399999999994</v>
      </c>
      <c r="D422" s="128"/>
      <c r="E422" s="128"/>
      <c r="F422" s="128"/>
      <c r="G422" s="128"/>
      <c r="H422" s="129">
        <f>(C422+E422+F422)-G422</f>
        <v>33148.399999999994</v>
      </c>
      <c r="I422" s="128"/>
      <c r="J422" s="130"/>
      <c r="K422" s="131">
        <f>H422-I422</f>
        <v>33148.399999999994</v>
      </c>
      <c r="L422" s="125"/>
    </row>
    <row r="423" spans="1:12" ht="21">
      <c r="A423" s="125">
        <v>3</v>
      </c>
      <c r="B423" s="126" t="s">
        <v>101</v>
      </c>
      <c r="C423" s="127">
        <f>'SFBL-AD'!J33</f>
        <v>173026</v>
      </c>
      <c r="D423" s="128"/>
      <c r="E423" s="128"/>
      <c r="F423" s="128"/>
      <c r="G423" s="128"/>
      <c r="H423" s="129">
        <f>(C423+E423+F423)-G423</f>
        <v>173026</v>
      </c>
      <c r="I423" s="128"/>
      <c r="J423" s="130"/>
      <c r="K423" s="131">
        <f>H423-I423</f>
        <v>173026</v>
      </c>
      <c r="L423" s="131"/>
    </row>
    <row r="424" spans="1:12" ht="21">
      <c r="A424" s="125"/>
      <c r="B424" s="126" t="s">
        <v>140</v>
      </c>
      <c r="C424" s="127">
        <f>'SFBL-GH'!F32</f>
        <v>39547</v>
      </c>
      <c r="D424" s="128"/>
      <c r="E424" s="128"/>
      <c r="F424" s="128"/>
      <c r="G424" s="128"/>
      <c r="H424" s="129"/>
      <c r="I424" s="128"/>
      <c r="J424" s="130"/>
      <c r="K424" s="131"/>
      <c r="L424" s="131"/>
    </row>
    <row r="425" spans="1:12" ht="21">
      <c r="A425" s="125">
        <v>4</v>
      </c>
      <c r="B425" s="126" t="s">
        <v>48</v>
      </c>
      <c r="C425" s="127"/>
      <c r="D425" s="128"/>
      <c r="E425" s="128"/>
      <c r="F425" s="128"/>
      <c r="G425" s="128"/>
      <c r="H425" s="129">
        <f>C425+D425+E425+F425-G425</f>
        <v>0</v>
      </c>
      <c r="I425" s="128"/>
      <c r="J425" s="130"/>
      <c r="K425" s="131">
        <f t="shared" ref="K425:K443" si="46">H425-I425</f>
        <v>0</v>
      </c>
      <c r="L425" s="125"/>
    </row>
    <row r="426" spans="1:12" ht="21">
      <c r="A426" s="125">
        <v>5</v>
      </c>
      <c r="B426" s="126" t="s">
        <v>49</v>
      </c>
      <c r="C426" s="127"/>
      <c r="D426" s="128"/>
      <c r="E426" s="128"/>
      <c r="F426" s="128"/>
      <c r="G426" s="128"/>
      <c r="H426" s="129">
        <f>C426+D426+E426+F426-G426</f>
        <v>0</v>
      </c>
      <c r="I426" s="128"/>
      <c r="J426" s="130"/>
      <c r="K426" s="131">
        <f t="shared" si="46"/>
        <v>0</v>
      </c>
      <c r="L426" s="125"/>
    </row>
    <row r="427" spans="1:12" ht="21">
      <c r="A427" s="125">
        <v>6</v>
      </c>
      <c r="B427" s="126" t="s">
        <v>50</v>
      </c>
      <c r="C427" s="127">
        <f>'SETL-PB'!J32</f>
        <v>53571.44</v>
      </c>
      <c r="D427" s="128"/>
      <c r="E427" s="128"/>
      <c r="F427" s="128"/>
      <c r="G427" s="128"/>
      <c r="H427" s="129">
        <f>C427+D427+E427+F427-G427</f>
        <v>53571.44</v>
      </c>
      <c r="I427" s="128"/>
      <c r="J427" s="130"/>
      <c r="K427" s="132">
        <f t="shared" si="46"/>
        <v>53571.44</v>
      </c>
      <c r="L427" s="133"/>
    </row>
    <row r="428" spans="1:12" ht="21">
      <c r="A428" s="125">
        <v>7</v>
      </c>
      <c r="B428" s="126" t="s">
        <v>51</v>
      </c>
      <c r="C428" s="127">
        <f>CCKL!J32</f>
        <v>285799.15000000002</v>
      </c>
      <c r="D428" s="128"/>
      <c r="E428" s="128"/>
      <c r="F428" s="128"/>
      <c r="G428" s="128"/>
      <c r="H428" s="129">
        <f>C428+D428+E428+F428-G428</f>
        <v>285799.15000000002</v>
      </c>
      <c r="I428" s="128"/>
      <c r="J428" s="130"/>
      <c r="K428" s="132">
        <f t="shared" si="46"/>
        <v>285799.15000000002</v>
      </c>
      <c r="L428" s="125"/>
    </row>
    <row r="429" spans="1:12" ht="21">
      <c r="A429" s="125">
        <v>8</v>
      </c>
      <c r="B429" s="126" t="s">
        <v>52</v>
      </c>
      <c r="C429" s="127"/>
      <c r="D429" s="128">
        <f>'STL-PB'!D33</f>
        <v>9160.24</v>
      </c>
      <c r="E429" s="128"/>
      <c r="F429" s="128"/>
      <c r="G429" s="128"/>
      <c r="H429" s="129">
        <f>C429+D429+E429+F429-G429</f>
        <v>9160.24</v>
      </c>
      <c r="I429" s="128"/>
      <c r="J429" s="130"/>
      <c r="K429" s="132">
        <f t="shared" si="46"/>
        <v>9160.24</v>
      </c>
      <c r="L429" s="128"/>
    </row>
    <row r="430" spans="1:12" ht="21">
      <c r="A430" s="125">
        <v>9</v>
      </c>
      <c r="B430" s="126" t="s">
        <v>53</v>
      </c>
      <c r="C430" s="127">
        <f>'STL-AB'!J32</f>
        <v>93161.800000000017</v>
      </c>
      <c r="D430" s="128"/>
      <c r="E430" s="128"/>
      <c r="F430" s="128"/>
      <c r="G430" s="128"/>
      <c r="H430" s="129">
        <f>C430+F430</f>
        <v>93161.800000000017</v>
      </c>
      <c r="I430" s="128"/>
      <c r="J430" s="130"/>
      <c r="K430" s="132">
        <f t="shared" si="46"/>
        <v>93161.800000000017</v>
      </c>
      <c r="L430" s="125"/>
    </row>
    <row r="431" spans="1:12" ht="21">
      <c r="A431" s="125">
        <v>10</v>
      </c>
      <c r="B431" s="126" t="s">
        <v>54</v>
      </c>
      <c r="C431" s="127"/>
      <c r="D431" s="128">
        <f>'STL-UB'!H34</f>
        <v>8711.94</v>
      </c>
      <c r="E431" s="128"/>
      <c r="F431" s="128"/>
      <c r="G431" s="128"/>
      <c r="H431" s="129">
        <f>C431+D431+E431+F431-G431</f>
        <v>8711.94</v>
      </c>
      <c r="I431" s="128"/>
      <c r="J431" s="130"/>
      <c r="K431" s="132">
        <f t="shared" si="46"/>
        <v>8711.94</v>
      </c>
      <c r="L431" s="125"/>
    </row>
    <row r="432" spans="1:12" ht="21">
      <c r="A432" s="125">
        <v>11</v>
      </c>
      <c r="B432" s="126" t="s">
        <v>55</v>
      </c>
      <c r="C432" s="127">
        <f>'HFL -AEPZ'!J33</f>
        <v>691943.2</v>
      </c>
      <c r="D432" s="128"/>
      <c r="E432" s="128"/>
      <c r="F432" s="128"/>
      <c r="G432" s="128"/>
      <c r="H432" s="129">
        <f>C432+D432+E432+F432-G432</f>
        <v>691943.2</v>
      </c>
      <c r="I432" s="128"/>
      <c r="J432" s="130"/>
      <c r="K432" s="125">
        <f t="shared" si="46"/>
        <v>691943.2</v>
      </c>
      <c r="L432" s="125"/>
    </row>
    <row r="433" spans="1:12" ht="21">
      <c r="A433" s="125">
        <v>12</v>
      </c>
      <c r="B433" s="126" t="s">
        <v>61</v>
      </c>
      <c r="C433" s="127">
        <v>0</v>
      </c>
      <c r="D433" s="128">
        <f>RCL!J32</f>
        <v>22902.519999999997</v>
      </c>
      <c r="E433" s="128"/>
      <c r="F433" s="128"/>
      <c r="G433" s="128"/>
      <c r="H433" s="129">
        <f>C433+D433+E433+F433-G433</f>
        <v>22902.519999999997</v>
      </c>
      <c r="I433" s="128"/>
      <c r="J433" s="130"/>
      <c r="K433" s="131">
        <f t="shared" si="46"/>
        <v>22902.519999999997</v>
      </c>
      <c r="L433" s="125"/>
    </row>
    <row r="434" spans="1:12" ht="21">
      <c r="A434" s="125">
        <v>13</v>
      </c>
      <c r="B434" s="126" t="s">
        <v>114</v>
      </c>
      <c r="C434" s="127"/>
      <c r="D434" s="128"/>
      <c r="E434" s="128"/>
      <c r="F434" s="128"/>
      <c r="G434" s="128"/>
      <c r="H434" s="129"/>
      <c r="I434" s="128"/>
      <c r="J434" s="130"/>
      <c r="K434" s="134">
        <f t="shared" si="46"/>
        <v>0</v>
      </c>
      <c r="L434" s="135"/>
    </row>
    <row r="435" spans="1:12" ht="21">
      <c r="A435" s="125">
        <v>14</v>
      </c>
      <c r="B435" s="126" t="s">
        <v>115</v>
      </c>
      <c r="C435" s="127">
        <f>Mawna!J33</f>
        <v>534541.75999999989</v>
      </c>
      <c r="D435" s="123"/>
      <c r="E435" s="128"/>
      <c r="F435" s="128"/>
      <c r="G435" s="128"/>
      <c r="H435" s="129">
        <f>(C435+F435)-G435</f>
        <v>534541.75999999989</v>
      </c>
      <c r="I435" s="128"/>
      <c r="J435" s="130"/>
      <c r="K435" s="134">
        <f t="shared" si="46"/>
        <v>534541.75999999989</v>
      </c>
      <c r="L435" s="125"/>
    </row>
    <row r="436" spans="1:12" ht="21">
      <c r="A436" s="125">
        <v>15</v>
      </c>
      <c r="B436" s="126" t="s">
        <v>70</v>
      </c>
      <c r="C436" s="127">
        <f>'SHL-B'!H41</f>
        <v>46271.6</v>
      </c>
      <c r="D436" s="128"/>
      <c r="E436" s="128"/>
      <c r="F436" s="128"/>
      <c r="G436" s="128"/>
      <c r="H436" s="129">
        <f>C436+D436+E436+F436-G436</f>
        <v>46271.6</v>
      </c>
      <c r="I436" s="128"/>
      <c r="J436" s="130"/>
      <c r="K436" s="134">
        <f t="shared" si="46"/>
        <v>46271.6</v>
      </c>
      <c r="L436" s="125"/>
    </row>
    <row r="437" spans="1:12" ht="21">
      <c r="A437" s="145">
        <v>16</v>
      </c>
      <c r="B437" s="146" t="s">
        <v>90</v>
      </c>
      <c r="C437" s="147">
        <f>4216</f>
        <v>4216</v>
      </c>
      <c r="D437" s="147"/>
      <c r="E437" s="148"/>
      <c r="F437" s="148"/>
      <c r="G437" s="148">
        <f>4215.5</f>
        <v>4215.5</v>
      </c>
      <c r="H437" s="149">
        <f>(C437+E437+F437)-G437</f>
        <v>0.5</v>
      </c>
      <c r="I437" s="148">
        <v>0</v>
      </c>
      <c r="J437" s="150"/>
      <c r="K437" s="237">
        <f>H437-I437</f>
        <v>0.5</v>
      </c>
      <c r="L437" s="145"/>
    </row>
    <row r="438" spans="1:12" ht="21">
      <c r="A438" s="125">
        <v>17</v>
      </c>
      <c r="B438" s="126" t="s">
        <v>117</v>
      </c>
      <c r="C438" s="123">
        <v>170</v>
      </c>
      <c r="D438" s="128"/>
      <c r="E438" s="128"/>
      <c r="F438" s="128">
        <v>170</v>
      </c>
      <c r="G438" s="128"/>
      <c r="H438" s="129">
        <f t="shared" ref="H438:H442" si="47">(C438+E438+F438)-G438</f>
        <v>340</v>
      </c>
      <c r="I438" s="128">
        <f>H438</f>
        <v>340</v>
      </c>
      <c r="J438" s="130"/>
      <c r="K438" s="125">
        <f t="shared" si="46"/>
        <v>0</v>
      </c>
      <c r="L438" s="125"/>
    </row>
    <row r="439" spans="1:12" ht="21">
      <c r="A439" s="125">
        <v>18</v>
      </c>
      <c r="B439" s="126" t="s">
        <v>118</v>
      </c>
      <c r="C439" s="123">
        <v>255</v>
      </c>
      <c r="D439" s="128"/>
      <c r="E439" s="128"/>
      <c r="F439" s="128">
        <v>255</v>
      </c>
      <c r="G439" s="128"/>
      <c r="H439" s="129">
        <f t="shared" si="47"/>
        <v>510</v>
      </c>
      <c r="I439" s="128">
        <f t="shared" ref="I439:I440" si="48">H439</f>
        <v>510</v>
      </c>
      <c r="J439" s="130"/>
      <c r="K439" s="125">
        <f t="shared" si="46"/>
        <v>0</v>
      </c>
      <c r="L439" s="125"/>
    </row>
    <row r="440" spans="1:12" ht="21">
      <c r="A440" s="125">
        <v>19</v>
      </c>
      <c r="B440" s="126" t="s">
        <v>119</v>
      </c>
      <c r="C440" s="123">
        <v>170</v>
      </c>
      <c r="D440" s="128"/>
      <c r="E440" s="128"/>
      <c r="F440" s="128">
        <v>170</v>
      </c>
      <c r="G440" s="128"/>
      <c r="H440" s="129">
        <f t="shared" si="47"/>
        <v>340</v>
      </c>
      <c r="I440" s="128">
        <f t="shared" si="48"/>
        <v>340</v>
      </c>
      <c r="J440" s="130"/>
      <c r="K440" s="125">
        <f t="shared" si="46"/>
        <v>0</v>
      </c>
      <c r="L440" s="125"/>
    </row>
    <row r="441" spans="1:12" ht="21">
      <c r="A441" s="125">
        <v>20</v>
      </c>
      <c r="B441" s="126" t="s">
        <v>120</v>
      </c>
      <c r="C441" s="123">
        <v>7364</v>
      </c>
      <c r="D441" s="128"/>
      <c r="E441" s="128"/>
      <c r="F441" s="128">
        <v>7364</v>
      </c>
      <c r="G441" s="128"/>
      <c r="H441" s="129">
        <f t="shared" si="47"/>
        <v>14728</v>
      </c>
      <c r="I441" s="128">
        <v>7364</v>
      </c>
      <c r="J441" s="130"/>
      <c r="K441" s="125">
        <f t="shared" si="46"/>
        <v>7364</v>
      </c>
      <c r="L441" s="125"/>
    </row>
    <row r="442" spans="1:12" ht="21">
      <c r="A442" s="125">
        <v>21</v>
      </c>
      <c r="B442" s="126" t="s">
        <v>132</v>
      </c>
      <c r="C442" s="127">
        <v>6803</v>
      </c>
      <c r="D442" s="128"/>
      <c r="E442" s="128"/>
      <c r="F442" s="128"/>
      <c r="G442" s="128"/>
      <c r="H442" s="129">
        <f t="shared" si="47"/>
        <v>6803</v>
      </c>
      <c r="I442" s="128">
        <f t="shared" ref="I442" si="49">H442</f>
        <v>6803</v>
      </c>
      <c r="J442" s="130"/>
      <c r="K442" s="125">
        <f t="shared" si="46"/>
        <v>0</v>
      </c>
      <c r="L442" s="125"/>
    </row>
    <row r="443" spans="1:12" ht="21">
      <c r="A443" s="125">
        <v>22</v>
      </c>
      <c r="B443" s="126" t="s">
        <v>133</v>
      </c>
      <c r="C443" s="127">
        <v>16308</v>
      </c>
      <c r="D443" s="128"/>
      <c r="E443" s="128"/>
      <c r="F443" s="128"/>
      <c r="G443" s="128"/>
      <c r="H443" s="137">
        <v>16308</v>
      </c>
      <c r="I443" s="128">
        <v>16308</v>
      </c>
      <c r="J443" s="130"/>
      <c r="K443" s="125">
        <f t="shared" si="46"/>
        <v>0</v>
      </c>
      <c r="L443" s="125"/>
    </row>
    <row r="444" spans="1:12" ht="21">
      <c r="A444" s="125">
        <v>23</v>
      </c>
      <c r="B444" s="126" t="s">
        <v>136</v>
      </c>
      <c r="C444" s="127">
        <v>153</v>
      </c>
      <c r="D444" s="128"/>
      <c r="E444" s="128"/>
      <c r="F444" s="128"/>
      <c r="G444" s="128"/>
      <c r="H444" s="137"/>
      <c r="I444" s="128"/>
      <c r="J444" s="130"/>
      <c r="K444" s="125"/>
      <c r="L444" s="125"/>
    </row>
    <row r="445" spans="1:12" ht="21">
      <c r="A445" s="125">
        <v>24</v>
      </c>
      <c r="B445" s="126" t="s">
        <v>135</v>
      </c>
      <c r="C445" s="127">
        <v>1028</v>
      </c>
      <c r="D445" s="128"/>
      <c r="E445" s="128"/>
      <c r="F445" s="128"/>
      <c r="G445" s="128"/>
      <c r="H445" s="137"/>
      <c r="I445" s="128"/>
      <c r="J445" s="130"/>
      <c r="K445" s="125"/>
      <c r="L445" s="125"/>
    </row>
    <row r="446" spans="1:12" ht="21">
      <c r="A446" s="125">
        <v>25</v>
      </c>
      <c r="B446" s="126" t="s">
        <v>137</v>
      </c>
      <c r="C446" s="127">
        <v>153</v>
      </c>
      <c r="D446" s="128"/>
      <c r="E446" s="128"/>
      <c r="F446" s="128"/>
      <c r="G446" s="128"/>
      <c r="H446" s="137"/>
      <c r="I446" s="128"/>
      <c r="J446" s="130"/>
      <c r="K446" s="125"/>
      <c r="L446" s="125"/>
    </row>
    <row r="447" spans="1:12" ht="21">
      <c r="A447" s="125">
        <v>26</v>
      </c>
      <c r="B447" s="126" t="s">
        <v>138</v>
      </c>
      <c r="C447" s="127">
        <v>8010</v>
      </c>
      <c r="D447" s="128"/>
      <c r="E447" s="128"/>
      <c r="F447" s="128"/>
      <c r="G447" s="128"/>
      <c r="H447" s="137"/>
      <c r="I447" s="128"/>
      <c r="J447" s="130"/>
      <c r="K447" s="125"/>
      <c r="L447" s="125"/>
    </row>
    <row r="448" spans="1:12" ht="21">
      <c r="A448" s="125">
        <v>27</v>
      </c>
      <c r="B448" s="126" t="s">
        <v>134</v>
      </c>
      <c r="C448" s="127">
        <v>544</v>
      </c>
      <c r="D448" s="128"/>
      <c r="E448" s="128"/>
      <c r="F448" s="128"/>
      <c r="G448" s="128"/>
      <c r="H448" s="137">
        <v>544</v>
      </c>
      <c r="I448" s="128">
        <v>544</v>
      </c>
      <c r="J448" s="130"/>
      <c r="K448" s="125">
        <f t="shared" ref="K448" si="50">H448-I448</f>
        <v>0</v>
      </c>
      <c r="L448" s="125"/>
    </row>
    <row r="449" spans="1:12" ht="26.25">
      <c r="A449" s="138"/>
      <c r="B449" s="139" t="s">
        <v>92</v>
      </c>
      <c r="C449" s="140">
        <f>SUM(C422:C448)</f>
        <v>1996184.35</v>
      </c>
      <c r="D449" s="141">
        <f>SUM(D422:D443)</f>
        <v>40774.699999999997</v>
      </c>
      <c r="E449" s="141">
        <f>SUM(E422:E443)</f>
        <v>0</v>
      </c>
      <c r="F449" s="141">
        <f>SUM(F422:F443)</f>
        <v>7959</v>
      </c>
      <c r="G449" s="141">
        <f>SUM(G422:G443)</f>
        <v>4215.5</v>
      </c>
      <c r="H449" s="140">
        <f>H422+H423+H425+H426+H427+H428+H429+H430+H431+H432+H433+H434+H435+H436+G437+F438+F439+F440+F441+H442+J434+H443</f>
        <v>1987523.5499999998</v>
      </c>
      <c r="I449" s="142">
        <f>SUM(I422:I448)</f>
        <v>32209</v>
      </c>
      <c r="J449" s="143"/>
      <c r="K449" s="144"/>
      <c r="L449" s="144"/>
    </row>
  </sheetData>
  <mergeCells count="18">
    <mergeCell ref="A419:L420"/>
    <mergeCell ref="M341:N341"/>
    <mergeCell ref="A197:L198"/>
    <mergeCell ref="A324:L325"/>
    <mergeCell ref="A296:L297"/>
    <mergeCell ref="A265:L266"/>
    <mergeCell ref="A242:L243"/>
    <mergeCell ref="A219:L220"/>
    <mergeCell ref="A359:L360"/>
    <mergeCell ref="A1:L2"/>
    <mergeCell ref="A39:L40"/>
    <mergeCell ref="A58:L59"/>
    <mergeCell ref="A79:L80"/>
    <mergeCell ref="A175:L176"/>
    <mergeCell ref="A151:L152"/>
    <mergeCell ref="A125:L126"/>
    <mergeCell ref="A100:L101"/>
    <mergeCell ref="A20:L21"/>
  </mergeCells>
  <pageMargins left="0.7" right="0.7" top="0.75" bottom="0.75" header="0.3" footer="0.3"/>
  <pageSetup paperSize="9" scale="53" fitToHeight="0" orientation="landscape" r:id="rId1"/>
  <rowBreaks count="1" manualBreakCount="1">
    <brk id="7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F164-EDBB-48F7-9A78-5D6E7EDB9603}">
  <sheetPr>
    <pageSetUpPr fitToPage="1"/>
  </sheetPr>
  <dimension ref="A1:R62"/>
  <sheetViews>
    <sheetView topLeftCell="A22" zoomScale="40" zoomScaleNormal="40" workbookViewId="0">
      <selection activeCell="C19" sqref="C19"/>
    </sheetView>
  </sheetViews>
  <sheetFormatPr defaultRowHeight="15"/>
  <cols>
    <col min="1" max="1" width="6" bestFit="1" customWidth="1"/>
    <col min="2" max="2" width="37" bestFit="1" customWidth="1"/>
    <col min="3" max="3" width="32.140625" bestFit="1" customWidth="1"/>
    <col min="4" max="4" width="26.85546875" bestFit="1" customWidth="1"/>
    <col min="5" max="5" width="31" bestFit="1" customWidth="1"/>
    <col min="6" max="6" width="30.42578125" bestFit="1" customWidth="1"/>
    <col min="7" max="7" width="33.85546875" bestFit="1" customWidth="1"/>
    <col min="8" max="8" width="30.5703125" bestFit="1" customWidth="1"/>
    <col min="9" max="9" width="39.42578125" bestFit="1" customWidth="1"/>
    <col min="10" max="10" width="26.140625" customWidth="1"/>
    <col min="11" max="14" width="21.85546875" customWidth="1"/>
    <col min="15" max="15" width="22" bestFit="1" customWidth="1"/>
    <col min="16" max="16" width="22" customWidth="1"/>
    <col min="17" max="17" width="16.7109375" bestFit="1" customWidth="1"/>
    <col min="18" max="18" width="27" bestFit="1" customWidth="1"/>
  </cols>
  <sheetData>
    <row r="1" spans="1:18" ht="28.5">
      <c r="A1" s="115"/>
      <c r="B1" s="307" t="s">
        <v>144</v>
      </c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8" ht="27">
      <c r="A2" s="194" t="s">
        <v>75</v>
      </c>
      <c r="B2" s="194" t="s">
        <v>76</v>
      </c>
      <c r="C2" s="194" t="s">
        <v>77</v>
      </c>
      <c r="D2" s="195" t="s">
        <v>142</v>
      </c>
      <c r="E2" s="194" t="s">
        <v>79</v>
      </c>
      <c r="F2" s="194" t="s">
        <v>80</v>
      </c>
      <c r="G2" s="194" t="s">
        <v>57</v>
      </c>
      <c r="H2" s="194" t="s">
        <v>81</v>
      </c>
      <c r="I2" s="194" t="s">
        <v>126</v>
      </c>
      <c r="J2" s="194">
        <v>2019</v>
      </c>
      <c r="K2" s="194">
        <v>2020</v>
      </c>
      <c r="L2" s="194">
        <v>2021</v>
      </c>
      <c r="M2" s="194">
        <v>2023</v>
      </c>
      <c r="N2" s="194">
        <v>2024</v>
      </c>
      <c r="O2" s="194" t="s">
        <v>160</v>
      </c>
      <c r="P2" s="194">
        <v>2019</v>
      </c>
      <c r="Q2" s="194" t="s">
        <v>47</v>
      </c>
      <c r="R2" s="194" t="s">
        <v>84</v>
      </c>
    </row>
    <row r="3" spans="1:18" ht="28.5">
      <c r="A3" s="196">
        <v>1</v>
      </c>
      <c r="B3" s="197" t="s">
        <v>13</v>
      </c>
      <c r="C3" s="198">
        <f>4309.35+1928.5+1946.5+2075+82.4+105+430+8559.5+4135.3+3798+1450+1817.35+221+1680+2260+21+226</f>
        <v>35044.899999999994</v>
      </c>
      <c r="D3" s="199">
        <v>17041.8</v>
      </c>
      <c r="E3" s="199"/>
      <c r="F3" s="199"/>
      <c r="G3" s="199"/>
      <c r="H3" s="200">
        <f>(C3+E3+F3)-G3</f>
        <v>35044.899999999994</v>
      </c>
      <c r="I3" s="199">
        <f>'SFBL-PB'!J32</f>
        <v>33148.399999999994</v>
      </c>
      <c r="J3" s="199"/>
      <c r="K3" s="199"/>
      <c r="L3" s="199"/>
      <c r="M3" s="199"/>
      <c r="N3" s="199"/>
      <c r="O3" s="201"/>
      <c r="P3" s="201"/>
      <c r="Q3" s="202"/>
      <c r="R3" s="203"/>
    </row>
    <row r="4" spans="1:18" ht="28.5">
      <c r="A4" s="196">
        <v>2</v>
      </c>
      <c r="B4" s="197" t="s">
        <v>101</v>
      </c>
      <c r="C4" s="198">
        <f>25961+23199+4625+1360+3010+192+2940+4355+4349+8636+21736+10547+4747+339+350+66</f>
        <v>116412</v>
      </c>
      <c r="D4" s="199"/>
      <c r="E4" s="199"/>
      <c r="F4" s="199"/>
      <c r="G4" s="199"/>
      <c r="H4" s="200">
        <f t="shared" ref="H4:H17" si="0">(C4+E4+F4)-G4</f>
        <v>116412</v>
      </c>
      <c r="I4" s="199"/>
      <c r="J4" s="199"/>
      <c r="K4" s="199"/>
      <c r="L4" s="199"/>
      <c r="M4" s="199"/>
      <c r="N4" s="199"/>
      <c r="O4" s="201"/>
      <c r="P4" s="201"/>
      <c r="Q4" s="202"/>
      <c r="R4" s="196"/>
    </row>
    <row r="5" spans="1:18" ht="28.5">
      <c r="A5" s="196">
        <v>3</v>
      </c>
      <c r="B5" s="197" t="s">
        <v>140</v>
      </c>
      <c r="C5" s="198">
        <f>14973+7562+2701+1836+605+297+650+650+960+3570+3500+2243</f>
        <v>39547</v>
      </c>
      <c r="D5" s="199"/>
      <c r="E5" s="199"/>
      <c r="F5" s="199"/>
      <c r="G5" s="199"/>
      <c r="H5" s="200">
        <f t="shared" si="0"/>
        <v>39547</v>
      </c>
      <c r="I5" s="199"/>
      <c r="J5" s="199"/>
      <c r="K5" s="199"/>
      <c r="L5" s="199"/>
      <c r="M5" s="199"/>
      <c r="N5" s="199"/>
      <c r="O5" s="201"/>
      <c r="P5" s="201"/>
      <c r="Q5" s="202"/>
      <c r="R5" s="196"/>
    </row>
    <row r="6" spans="1:18" ht="28.5">
      <c r="A6" s="196">
        <v>4</v>
      </c>
      <c r="B6" s="204" t="s">
        <v>48</v>
      </c>
      <c r="C6" s="205">
        <f>94+445+85+520+100+28+3+550+15+48+36+92+78+1257+207+2</f>
        <v>3560</v>
      </c>
      <c r="D6" s="199"/>
      <c r="E6" s="199"/>
      <c r="F6" s="199"/>
      <c r="G6" s="199"/>
      <c r="H6" s="200">
        <f t="shared" si="0"/>
        <v>3560</v>
      </c>
      <c r="I6" s="199"/>
      <c r="J6" s="199"/>
      <c r="K6" s="199"/>
      <c r="L6" s="199"/>
      <c r="M6" s="199"/>
      <c r="N6" s="199"/>
      <c r="O6" s="201"/>
      <c r="P6" s="201"/>
      <c r="Q6" s="202"/>
      <c r="R6" s="196"/>
    </row>
    <row r="7" spans="1:18" ht="28.5">
      <c r="A7" s="196">
        <v>5</v>
      </c>
      <c r="B7" s="204" t="s">
        <v>49</v>
      </c>
      <c r="C7" s="205">
        <f>86+444+119+390+101.4+16+2+550+10+48+709+196+87+1256+171+46+1</f>
        <v>4232.3999999999996</v>
      </c>
      <c r="D7" s="199"/>
      <c r="E7" s="199"/>
      <c r="F7" s="199"/>
      <c r="G7" s="199"/>
      <c r="H7" s="200">
        <f t="shared" si="0"/>
        <v>4232.3999999999996</v>
      </c>
      <c r="I7" s="199"/>
      <c r="J7" s="199"/>
      <c r="K7" s="199"/>
      <c r="L7" s="199"/>
      <c r="M7" s="199"/>
      <c r="N7" s="199"/>
      <c r="O7" s="201"/>
      <c r="P7" s="201"/>
      <c r="Q7" s="202"/>
      <c r="R7" s="196"/>
    </row>
    <row r="8" spans="1:18" ht="28.5">
      <c r="A8" s="196">
        <v>6</v>
      </c>
      <c r="B8" s="197" t="s">
        <v>50</v>
      </c>
      <c r="C8" s="198">
        <f>2257+102+1045.8+30+274.4+4467.75+7365.56+10200+18+19500.25+1813+4944.48+1184.2+193.2+1002.8+1411.8</f>
        <v>55810.240000000005</v>
      </c>
      <c r="D8" s="199">
        <v>29398.45</v>
      </c>
      <c r="E8" s="199"/>
      <c r="F8" s="199"/>
      <c r="G8" s="199"/>
      <c r="H8" s="200">
        <f t="shared" si="0"/>
        <v>55810.240000000005</v>
      </c>
      <c r="I8" s="199"/>
      <c r="J8" s="199"/>
      <c r="K8" s="199"/>
      <c r="L8" s="199"/>
      <c r="M8" s="199"/>
      <c r="N8" s="199"/>
      <c r="O8" s="201"/>
      <c r="P8" s="201"/>
      <c r="Q8" s="202"/>
      <c r="R8" s="206"/>
    </row>
    <row r="9" spans="1:18" ht="28.5">
      <c r="A9" s="196">
        <v>7</v>
      </c>
      <c r="B9" s="197" t="s">
        <v>51</v>
      </c>
      <c r="C9" s="198">
        <f>61437.4+53469+23643+255+9510+1056.6+480+11225+1002+8336+8558+20577+42645+22089+12468+470+2622+303.75+2168.4</f>
        <v>282315.15000000002</v>
      </c>
      <c r="D9" s="199"/>
      <c r="E9" s="199"/>
      <c r="F9" s="199"/>
      <c r="G9" s="199"/>
      <c r="H9" s="200">
        <f t="shared" si="0"/>
        <v>282315.15000000002</v>
      </c>
      <c r="I9" s="199"/>
      <c r="J9" s="199"/>
      <c r="K9" s="199"/>
      <c r="L9" s="199"/>
      <c r="M9" s="199"/>
      <c r="N9" s="199"/>
      <c r="O9" s="201"/>
      <c r="P9" s="201"/>
      <c r="Q9" s="202"/>
      <c r="R9" s="196"/>
    </row>
    <row r="10" spans="1:18" ht="28.5">
      <c r="A10" s="206">
        <v>8</v>
      </c>
      <c r="B10" s="204" t="s">
        <v>52</v>
      </c>
      <c r="C10" s="205">
        <f>2460.5+795.6+245.25+79.2+31.09+15+198+3983.89+361.51+399+782.4</f>
        <v>9351.44</v>
      </c>
      <c r="D10" s="207">
        <v>5286.36</v>
      </c>
      <c r="E10" s="199"/>
      <c r="F10" s="199"/>
      <c r="G10" s="199"/>
      <c r="H10" s="200">
        <f t="shared" si="0"/>
        <v>9351.44</v>
      </c>
      <c r="I10" s="199"/>
      <c r="J10" s="199"/>
      <c r="K10" s="199"/>
      <c r="L10" s="199"/>
      <c r="M10" s="199"/>
      <c r="N10" s="199"/>
      <c r="O10" s="201"/>
      <c r="P10" s="201"/>
      <c r="Q10" s="202"/>
      <c r="R10" s="199"/>
    </row>
    <row r="11" spans="1:18" ht="28.5">
      <c r="A11" s="208">
        <v>9</v>
      </c>
      <c r="B11" s="209" t="s">
        <v>53</v>
      </c>
      <c r="C11" s="198">
        <f>21431+16866+9953+255+3275+727.8+1400+3450+232+2812+6756+13792+9065+3685+80+433+196+60+546</f>
        <v>95014.8</v>
      </c>
      <c r="D11" s="199"/>
      <c r="E11" s="199"/>
      <c r="F11" s="199"/>
      <c r="G11" s="199"/>
      <c r="H11" s="200">
        <f t="shared" si="0"/>
        <v>95014.8</v>
      </c>
      <c r="I11" s="199"/>
      <c r="J11" s="199"/>
      <c r="K11" s="199"/>
      <c r="L11" s="199"/>
      <c r="M11" s="199"/>
      <c r="N11" s="199"/>
      <c r="O11" s="201"/>
      <c r="P11" s="201"/>
      <c r="Q11" s="202"/>
      <c r="R11" s="196"/>
    </row>
    <row r="12" spans="1:18" ht="28.5">
      <c r="A12" s="206">
        <v>10</v>
      </c>
      <c r="B12" s="204" t="s">
        <v>54</v>
      </c>
      <c r="C12" s="205">
        <f>34+1655+43.8+395+1745+2711+7+414+366+4.34+100+526+338.8+372</f>
        <v>8711.94</v>
      </c>
      <c r="D12" s="207">
        <f>293.9+205</f>
        <v>498.9</v>
      </c>
      <c r="E12" s="199"/>
      <c r="F12" s="199"/>
      <c r="G12" s="199"/>
      <c r="H12" s="200">
        <f t="shared" si="0"/>
        <v>8711.94</v>
      </c>
      <c r="I12" s="199"/>
      <c r="J12" s="199"/>
      <c r="K12" s="199"/>
      <c r="L12" s="199"/>
      <c r="M12" s="199"/>
      <c r="N12" s="199"/>
      <c r="O12" s="201"/>
      <c r="P12" s="201"/>
      <c r="Q12" s="202"/>
      <c r="R12" s="196"/>
    </row>
    <row r="13" spans="1:18" ht="28.5">
      <c r="A13" s="196">
        <v>11</v>
      </c>
      <c r="B13" s="197" t="s">
        <v>55</v>
      </c>
      <c r="C13" s="198">
        <f>169354+8513+92056+20511+47710+12200+7392+28750+25480+561+1200+16561+34876+90+70494+41656+281+12858+4465+300+690+10+71</f>
        <v>596079</v>
      </c>
      <c r="D13" s="199"/>
      <c r="E13" s="199"/>
      <c r="F13" s="199"/>
      <c r="G13" s="199"/>
      <c r="H13" s="200">
        <f t="shared" si="0"/>
        <v>596079</v>
      </c>
      <c r="I13" s="199"/>
      <c r="J13" s="199"/>
      <c r="K13" s="199"/>
      <c r="L13" s="199"/>
      <c r="M13" s="199"/>
      <c r="N13" s="199"/>
      <c r="O13" s="201"/>
      <c r="P13" s="201"/>
      <c r="Q13" s="202"/>
      <c r="R13" s="196"/>
    </row>
    <row r="14" spans="1:18" ht="28.5">
      <c r="A14" s="196">
        <v>12</v>
      </c>
      <c r="B14" s="204" t="s">
        <v>61</v>
      </c>
      <c r="C14" s="205">
        <f>4808+444+25+160+1418+12952.8+408.52+170.5+97+709+1665+72+42.3+341.8</f>
        <v>23313.919999999998</v>
      </c>
      <c r="D14" s="207">
        <f>65+125.6+125.6+286.4</f>
        <v>602.59999999999991</v>
      </c>
      <c r="E14" s="199"/>
      <c r="F14" s="199"/>
      <c r="G14" s="199"/>
      <c r="H14" s="200">
        <f t="shared" si="0"/>
        <v>23313.919999999998</v>
      </c>
      <c r="I14" s="199"/>
      <c r="J14" s="199"/>
      <c r="K14" s="199"/>
      <c r="L14" s="199"/>
      <c r="M14" s="199"/>
      <c r="N14" s="199"/>
      <c r="O14" s="201"/>
      <c r="P14" s="201"/>
      <c r="Q14" s="202"/>
      <c r="R14" s="196"/>
    </row>
    <row r="15" spans="1:18" ht="28.5">
      <c r="A15" s="196">
        <v>13</v>
      </c>
      <c r="B15" s="197" t="s">
        <v>114</v>
      </c>
      <c r="C15" s="198">
        <f>186841.28+47985.5+118408.8+5060.6+70741.5+6249.94+4185.9+21883.7+3511.2+7126.4+12512+1263+118023+7993+65162.75+43563.79+13165.66+47014.85+2544.75+8013+2628+2829+681.8+2225.2+4598.4</f>
        <v>804213.02000000014</v>
      </c>
      <c r="D15" s="199"/>
      <c r="E15" s="199"/>
      <c r="F15" s="199"/>
      <c r="G15" s="199"/>
      <c r="H15" s="200">
        <f t="shared" si="0"/>
        <v>804213.02000000014</v>
      </c>
      <c r="I15" s="199"/>
      <c r="J15" s="199"/>
      <c r="K15" s="199"/>
      <c r="L15" s="199"/>
      <c r="M15" s="199"/>
      <c r="N15" s="199"/>
      <c r="O15" s="199"/>
      <c r="P15" s="199"/>
      <c r="Q15" s="202"/>
      <c r="R15" s="210"/>
    </row>
    <row r="16" spans="1:18" ht="28.5">
      <c r="A16" s="196">
        <v>14</v>
      </c>
      <c r="B16" s="197" t="s">
        <v>115</v>
      </c>
      <c r="C16" s="198">
        <f>174903.68+28641+151289.6+4029+39187.5+4298.18+5518+29088+1006.5+7544.5+13382+67+40105.5+4320+62914.6+42533.8+2750+13380+4810+140+2255+369.6+1041.6+3279</f>
        <v>636854.06000000006</v>
      </c>
      <c r="D16" s="205"/>
      <c r="E16" s="199"/>
      <c r="F16" s="199"/>
      <c r="G16" s="199"/>
      <c r="H16" s="200">
        <f t="shared" si="0"/>
        <v>636854.06000000006</v>
      </c>
      <c r="I16" s="199"/>
      <c r="J16" s="199"/>
      <c r="K16" s="199"/>
      <c r="L16" s="199"/>
      <c r="M16" s="199"/>
      <c r="N16" s="199"/>
      <c r="O16" s="199"/>
      <c r="P16" s="199"/>
      <c r="Q16" s="202"/>
      <c r="R16" s="196"/>
    </row>
    <row r="17" spans="1:18" ht="28.5">
      <c r="A17" s="196">
        <v>15</v>
      </c>
      <c r="B17" s="197" t="s">
        <v>70</v>
      </c>
      <c r="C17" s="198">
        <f>2435+740+200+48+90+640+1072+3037+7010+3405+733+10</f>
        <v>19420</v>
      </c>
      <c r="D17" s="199"/>
      <c r="E17" s="199"/>
      <c r="F17" s="199"/>
      <c r="G17" s="199"/>
      <c r="H17" s="200">
        <f t="shared" si="0"/>
        <v>19420</v>
      </c>
      <c r="I17" s="199"/>
      <c r="J17" s="199"/>
      <c r="K17" s="199"/>
      <c r="L17" s="199"/>
      <c r="M17" s="199"/>
      <c r="N17" s="199"/>
      <c r="O17" s="201"/>
      <c r="P17" s="201"/>
      <c r="Q17" s="202"/>
      <c r="R17" s="196"/>
    </row>
    <row r="18" spans="1:18" ht="28.5">
      <c r="A18" s="196"/>
      <c r="B18" s="197"/>
      <c r="C18" s="198"/>
      <c r="D18" s="199"/>
      <c r="E18" s="199"/>
      <c r="F18" s="199"/>
      <c r="G18" s="199"/>
      <c r="H18" s="200"/>
      <c r="I18" s="199"/>
      <c r="J18" s="199">
        <v>2480</v>
      </c>
      <c r="K18" s="199">
        <f>3000+10900+9130</f>
        <v>23030</v>
      </c>
      <c r="L18" s="199">
        <f>1230+922+220+1798</f>
        <v>4170</v>
      </c>
      <c r="M18" s="199">
        <f>4245+7600</f>
        <v>11845</v>
      </c>
      <c r="N18" s="199">
        <f>5985+9790+8090+3755+8615+2860+900+6140+9985+9165+10345+8880+5045+10960+350+6630+11265+10315+8710+9290+10210+16505+13380+6875+12320+9050+10670+13280+9810+22455+12055+10010</f>
        <v>293695</v>
      </c>
      <c r="O18" s="199">
        <f>12725+8610+7420+9465+8350+12950+17460+15710+16030+4795+19765</f>
        <v>133280</v>
      </c>
      <c r="P18" s="201"/>
      <c r="Q18" s="202"/>
      <c r="R18" s="196"/>
    </row>
    <row r="19" spans="1:18" ht="28.5">
      <c r="A19" s="196"/>
      <c r="B19" s="211" t="s">
        <v>92</v>
      </c>
      <c r="C19" s="203">
        <f>(C3+C4+C5+C8+C9+C11+C13+C15+C16+C17+C6+C7+C10+C12+C14)-(D3+D8+D10+D12+D14)</f>
        <v>2677051.7600000002</v>
      </c>
      <c r="D19" s="199"/>
      <c r="E19" s="199"/>
      <c r="F19" s="199"/>
      <c r="G19" s="199"/>
      <c r="H19" s="200"/>
      <c r="I19" s="199"/>
      <c r="J19" s="199"/>
      <c r="K19" s="199"/>
      <c r="L19" s="199"/>
      <c r="M19" s="199"/>
      <c r="N19" s="199"/>
      <c r="O19" s="201">
        <f>SUM(J18:O18)</f>
        <v>468500</v>
      </c>
      <c r="P19" s="201"/>
      <c r="Q19" s="202"/>
      <c r="R19" s="203">
        <f>C19+O19</f>
        <v>3145551.7600000002</v>
      </c>
    </row>
    <row r="20" spans="1:18" ht="28.5">
      <c r="A20" s="212"/>
      <c r="B20" s="213"/>
      <c r="C20" s="214"/>
      <c r="D20" s="215"/>
      <c r="E20" s="215"/>
      <c r="F20" s="215"/>
      <c r="G20" s="215"/>
      <c r="H20" s="216"/>
      <c r="I20" s="215"/>
      <c r="J20" s="215"/>
      <c r="K20" s="215"/>
      <c r="L20" s="215"/>
      <c r="M20" s="215"/>
      <c r="N20" s="215"/>
      <c r="O20" s="217"/>
      <c r="P20" s="217"/>
      <c r="Q20" s="218"/>
      <c r="R20" s="212"/>
    </row>
    <row r="21" spans="1:18" ht="28.5">
      <c r="A21" s="212"/>
      <c r="B21" s="213"/>
      <c r="C21" s="214"/>
      <c r="D21" s="215"/>
      <c r="E21" s="215"/>
      <c r="F21" s="215"/>
      <c r="G21" s="215"/>
      <c r="H21" s="216"/>
      <c r="I21" s="215"/>
      <c r="J21" s="215"/>
      <c r="K21" s="215"/>
      <c r="L21" s="215"/>
      <c r="M21" s="215"/>
      <c r="N21" s="215"/>
      <c r="O21" s="217"/>
      <c r="P21" s="217"/>
      <c r="Q21" s="218"/>
      <c r="R21" s="212"/>
    </row>
    <row r="22" spans="1:18" ht="28.5">
      <c r="A22" s="219">
        <v>1</v>
      </c>
      <c r="B22" s="219" t="s">
        <v>141</v>
      </c>
      <c r="C22" s="220">
        <f>SUM('ACME Technologies'!C3:C13)</f>
        <v>46594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38">
        <f>J18+K18+L18+M18+N18+O18</f>
        <v>468500</v>
      </c>
      <c r="P22" s="221"/>
      <c r="Q22" s="221"/>
      <c r="R22" s="221"/>
    </row>
    <row r="23" spans="1:18" ht="28.5">
      <c r="A23" s="219">
        <v>2</v>
      </c>
      <c r="B23" s="219" t="s">
        <v>144</v>
      </c>
      <c r="C23" s="220">
        <f>SUM(C19)</f>
        <v>2677051.7600000002</v>
      </c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</row>
    <row r="24" spans="1:18" ht="28.5">
      <c r="A24" s="222"/>
      <c r="B24" s="219" t="s">
        <v>143</v>
      </c>
      <c r="C24" s="220">
        <f>SUM(C22:C23)</f>
        <v>2723645.7600000002</v>
      </c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</row>
    <row r="40" spans="1:18" ht="22.5" customHeight="1"/>
    <row r="43" spans="1:18" ht="28.5">
      <c r="A43" s="115"/>
      <c r="B43" s="308" t="s">
        <v>144</v>
      </c>
      <c r="C43" s="308"/>
      <c r="D43" s="308"/>
      <c r="E43" s="308"/>
      <c r="F43" s="308"/>
      <c r="G43" s="308"/>
      <c r="H43" s="308"/>
      <c r="I43" s="308"/>
      <c r="J43" s="309"/>
      <c r="K43" s="309"/>
      <c r="L43" s="309"/>
      <c r="M43" s="309"/>
      <c r="N43" s="308"/>
      <c r="O43" s="308"/>
      <c r="P43" s="308"/>
      <c r="Q43" s="308"/>
      <c r="R43" s="308"/>
    </row>
    <row r="44" spans="1:18" ht="27">
      <c r="A44" s="194" t="s">
        <v>75</v>
      </c>
      <c r="B44" s="194" t="s">
        <v>76</v>
      </c>
      <c r="C44" s="194" t="s">
        <v>77</v>
      </c>
      <c r="D44" s="195" t="s">
        <v>142</v>
      </c>
      <c r="E44" s="194" t="s">
        <v>79</v>
      </c>
      <c r="F44" s="194" t="s">
        <v>80</v>
      </c>
      <c r="G44" s="194" t="s">
        <v>57</v>
      </c>
      <c r="H44" s="194" t="s">
        <v>81</v>
      </c>
      <c r="I44" s="194" t="s">
        <v>126</v>
      </c>
      <c r="J44" s="194">
        <v>2019</v>
      </c>
      <c r="K44" s="194">
        <v>2020</v>
      </c>
      <c r="L44" s="194">
        <v>2021</v>
      </c>
      <c r="M44" s="194">
        <v>2023</v>
      </c>
      <c r="N44" s="194">
        <v>2024</v>
      </c>
      <c r="O44" s="194" t="s">
        <v>160</v>
      </c>
      <c r="P44" s="194">
        <v>2019</v>
      </c>
      <c r="Q44" s="194" t="s">
        <v>47</v>
      </c>
      <c r="R44" s="194" t="s">
        <v>84</v>
      </c>
    </row>
    <row r="45" spans="1:18" ht="28.5">
      <c r="A45" s="196">
        <v>1</v>
      </c>
      <c r="B45" s="197" t="s">
        <v>13</v>
      </c>
      <c r="C45" s="198"/>
      <c r="D45" s="199"/>
      <c r="E45" s="199"/>
      <c r="F45" s="199"/>
      <c r="G45" s="199"/>
      <c r="H45" s="200">
        <f>(C45+E45+F45)-G45</f>
        <v>0</v>
      </c>
      <c r="I45" s="199"/>
      <c r="J45" s="199"/>
      <c r="K45" s="199"/>
      <c r="L45" s="199"/>
      <c r="M45" s="199"/>
      <c r="N45" s="199"/>
      <c r="O45" s="201"/>
      <c r="P45" s="201"/>
      <c r="Q45" s="202"/>
      <c r="R45" s="203"/>
    </row>
    <row r="46" spans="1:18" ht="28.5">
      <c r="A46" s="196">
        <v>2</v>
      </c>
      <c r="B46" s="197" t="s">
        <v>101</v>
      </c>
      <c r="C46" s="198"/>
      <c r="D46" s="199"/>
      <c r="E46" s="199"/>
      <c r="F46" s="199"/>
      <c r="G46" s="199"/>
      <c r="H46" s="200">
        <f t="shared" ref="H46:H59" si="1">(C46+E46+F46)-G46</f>
        <v>0</v>
      </c>
      <c r="I46" s="199"/>
      <c r="J46" s="199"/>
      <c r="K46" s="199"/>
      <c r="L46" s="199"/>
      <c r="M46" s="199"/>
      <c r="N46" s="199"/>
      <c r="O46" s="201"/>
      <c r="P46" s="201"/>
      <c r="Q46" s="202"/>
      <c r="R46" s="196"/>
    </row>
    <row r="47" spans="1:18" ht="28.5">
      <c r="A47" s="196">
        <v>3</v>
      </c>
      <c r="B47" s="197" t="s">
        <v>140</v>
      </c>
      <c r="C47" s="198"/>
      <c r="D47" s="199"/>
      <c r="E47" s="199"/>
      <c r="F47" s="199"/>
      <c r="G47" s="199"/>
      <c r="H47" s="200">
        <f t="shared" si="1"/>
        <v>0</v>
      </c>
      <c r="I47" s="199"/>
      <c r="J47" s="199"/>
      <c r="K47" s="199"/>
      <c r="L47" s="199"/>
      <c r="M47" s="199"/>
      <c r="N47" s="199"/>
      <c r="O47" s="201"/>
      <c r="P47" s="201"/>
      <c r="Q47" s="202"/>
      <c r="R47" s="196"/>
    </row>
    <row r="48" spans="1:18" ht="28.5">
      <c r="A48" s="196">
        <v>4</v>
      </c>
      <c r="B48" s="204" t="s">
        <v>48</v>
      </c>
      <c r="C48" s="198"/>
      <c r="D48" s="199"/>
      <c r="E48" s="199"/>
      <c r="F48" s="199"/>
      <c r="G48" s="199"/>
      <c r="H48" s="200">
        <f t="shared" si="1"/>
        <v>0</v>
      </c>
      <c r="I48" s="199"/>
      <c r="J48" s="199"/>
      <c r="K48" s="199"/>
      <c r="L48" s="199"/>
      <c r="M48" s="199"/>
      <c r="N48" s="199"/>
      <c r="O48" s="201"/>
      <c r="P48" s="201"/>
      <c r="Q48" s="202"/>
      <c r="R48" s="196"/>
    </row>
    <row r="49" spans="1:18" ht="28.5">
      <c r="A49" s="196">
        <v>5</v>
      </c>
      <c r="B49" s="204" t="s">
        <v>49</v>
      </c>
      <c r="C49" s="198"/>
      <c r="D49" s="199"/>
      <c r="E49" s="199"/>
      <c r="F49" s="199"/>
      <c r="G49" s="199"/>
      <c r="H49" s="200">
        <f t="shared" si="1"/>
        <v>0</v>
      </c>
      <c r="I49" s="199"/>
      <c r="J49" s="199"/>
      <c r="K49" s="199"/>
      <c r="L49" s="199"/>
      <c r="M49" s="199"/>
      <c r="N49" s="199"/>
      <c r="O49" s="201"/>
      <c r="P49" s="201"/>
      <c r="Q49" s="202"/>
      <c r="R49" s="196"/>
    </row>
    <row r="50" spans="1:18" ht="28.5">
      <c r="A50" s="196">
        <v>6</v>
      </c>
      <c r="B50" s="197" t="s">
        <v>50</v>
      </c>
      <c r="C50" s="198"/>
      <c r="D50" s="199"/>
      <c r="E50" s="199"/>
      <c r="F50" s="199"/>
      <c r="G50" s="199"/>
      <c r="H50" s="200">
        <f t="shared" si="1"/>
        <v>0</v>
      </c>
      <c r="I50" s="199"/>
      <c r="J50" s="199"/>
      <c r="K50" s="199"/>
      <c r="L50" s="199"/>
      <c r="M50" s="199"/>
      <c r="N50" s="199"/>
      <c r="O50" s="201"/>
      <c r="P50" s="201"/>
      <c r="Q50" s="202"/>
      <c r="R50" s="206"/>
    </row>
    <row r="51" spans="1:18" ht="28.5">
      <c r="A51" s="196">
        <v>7</v>
      </c>
      <c r="B51" s="197" t="s">
        <v>51</v>
      </c>
      <c r="C51" s="198"/>
      <c r="D51" s="199"/>
      <c r="E51" s="199"/>
      <c r="F51" s="199"/>
      <c r="G51" s="199"/>
      <c r="H51" s="200">
        <f t="shared" si="1"/>
        <v>0</v>
      </c>
      <c r="I51" s="199"/>
      <c r="J51" s="199"/>
      <c r="K51" s="199"/>
      <c r="L51" s="199"/>
      <c r="M51" s="199"/>
      <c r="N51" s="199"/>
      <c r="O51" s="201"/>
      <c r="P51" s="201"/>
      <c r="Q51" s="202"/>
      <c r="R51" s="196"/>
    </row>
    <row r="52" spans="1:18" ht="28.5">
      <c r="A52" s="206">
        <v>8</v>
      </c>
      <c r="B52" s="204" t="s">
        <v>52</v>
      </c>
      <c r="C52" s="198"/>
      <c r="D52" s="199"/>
      <c r="E52" s="199"/>
      <c r="F52" s="199"/>
      <c r="G52" s="199"/>
      <c r="H52" s="200">
        <f t="shared" si="1"/>
        <v>0</v>
      </c>
      <c r="I52" s="199"/>
      <c r="J52" s="199"/>
      <c r="K52" s="199"/>
      <c r="L52" s="199"/>
      <c r="M52" s="199"/>
      <c r="N52" s="199"/>
      <c r="O52" s="201"/>
      <c r="P52" s="201"/>
      <c r="Q52" s="202"/>
      <c r="R52" s="199"/>
    </row>
    <row r="53" spans="1:18" ht="28.5">
      <c r="A53" s="208">
        <v>9</v>
      </c>
      <c r="B53" s="209" t="s">
        <v>53</v>
      </c>
      <c r="C53" s="198"/>
      <c r="D53" s="199"/>
      <c r="E53" s="199"/>
      <c r="F53" s="199"/>
      <c r="G53" s="199"/>
      <c r="H53" s="200">
        <f t="shared" si="1"/>
        <v>0</v>
      </c>
      <c r="I53" s="199"/>
      <c r="J53" s="199"/>
      <c r="K53" s="199"/>
      <c r="L53" s="199"/>
      <c r="M53" s="199"/>
      <c r="N53" s="199"/>
      <c r="O53" s="201"/>
      <c r="P53" s="201"/>
      <c r="Q53" s="202"/>
      <c r="R53" s="196"/>
    </row>
    <row r="54" spans="1:18" ht="28.5">
      <c r="A54" s="206">
        <v>10</v>
      </c>
      <c r="B54" s="204" t="s">
        <v>54</v>
      </c>
      <c r="C54" s="198"/>
      <c r="D54" s="199"/>
      <c r="E54" s="199"/>
      <c r="F54" s="199"/>
      <c r="G54" s="199"/>
      <c r="H54" s="200">
        <f t="shared" si="1"/>
        <v>0</v>
      </c>
      <c r="I54" s="199"/>
      <c r="J54" s="199"/>
      <c r="K54" s="199"/>
      <c r="L54" s="199"/>
      <c r="M54" s="199"/>
      <c r="N54" s="199"/>
      <c r="O54" s="201"/>
      <c r="P54" s="201"/>
      <c r="Q54" s="202"/>
      <c r="R54" s="196"/>
    </row>
    <row r="55" spans="1:18" ht="28.5">
      <c r="A55" s="196">
        <v>11</v>
      </c>
      <c r="B55" s="197" t="s">
        <v>55</v>
      </c>
      <c r="C55" s="198"/>
      <c r="D55" s="199"/>
      <c r="E55" s="199"/>
      <c r="F55" s="199"/>
      <c r="G55" s="199"/>
      <c r="H55" s="200">
        <f t="shared" si="1"/>
        <v>0</v>
      </c>
      <c r="I55" s="199"/>
      <c r="J55" s="199"/>
      <c r="K55" s="199"/>
      <c r="L55" s="199"/>
      <c r="M55" s="199"/>
      <c r="N55" s="199"/>
      <c r="O55" s="201"/>
      <c r="P55" s="201"/>
      <c r="Q55" s="202"/>
      <c r="R55" s="196"/>
    </row>
    <row r="56" spans="1:18" ht="28.5">
      <c r="A56" s="196">
        <v>12</v>
      </c>
      <c r="B56" s="204" t="s">
        <v>61</v>
      </c>
      <c r="C56" s="198"/>
      <c r="D56" s="199"/>
      <c r="E56" s="199"/>
      <c r="F56" s="199"/>
      <c r="G56" s="199"/>
      <c r="H56" s="200">
        <f t="shared" si="1"/>
        <v>0</v>
      </c>
      <c r="I56" s="199"/>
      <c r="J56" s="199"/>
      <c r="K56" s="199"/>
      <c r="L56" s="199"/>
      <c r="M56" s="199"/>
      <c r="N56" s="199"/>
      <c r="O56" s="201"/>
      <c r="P56" s="201"/>
      <c r="Q56" s="202"/>
      <c r="R56" s="196"/>
    </row>
    <row r="57" spans="1:18" ht="28.5">
      <c r="A57" s="196">
        <v>13</v>
      </c>
      <c r="B57" s="197" t="s">
        <v>114</v>
      </c>
      <c r="C57" s="198"/>
      <c r="D57" s="199"/>
      <c r="E57" s="199"/>
      <c r="F57" s="199"/>
      <c r="G57" s="199"/>
      <c r="H57" s="200">
        <f t="shared" si="1"/>
        <v>0</v>
      </c>
      <c r="I57" s="199"/>
      <c r="J57" s="199"/>
      <c r="K57" s="199"/>
      <c r="L57" s="199"/>
      <c r="M57" s="199"/>
      <c r="N57" s="199"/>
      <c r="O57" s="199"/>
      <c r="P57" s="199">
        <f>O59-O60</f>
        <v>4641</v>
      </c>
      <c r="Q57" s="202"/>
      <c r="R57" s="210"/>
    </row>
    <row r="58" spans="1:18" ht="28.5">
      <c r="A58" s="196">
        <v>14</v>
      </c>
      <c r="B58" s="197" t="s">
        <v>115</v>
      </c>
      <c r="C58" s="198"/>
      <c r="D58" s="199"/>
      <c r="E58" s="199"/>
      <c r="F58" s="199"/>
      <c r="G58" s="199"/>
      <c r="H58" s="200">
        <f t="shared" si="1"/>
        <v>0</v>
      </c>
      <c r="I58" s="199"/>
      <c r="J58" s="199"/>
      <c r="K58" s="199"/>
      <c r="L58" s="199"/>
      <c r="M58" s="199"/>
      <c r="N58" s="199"/>
      <c r="O58" s="199"/>
      <c r="P58" s="199"/>
      <c r="Q58" s="202"/>
      <c r="R58" s="196"/>
    </row>
    <row r="59" spans="1:18" ht="28.5">
      <c r="A59" s="196">
        <v>15</v>
      </c>
      <c r="B59" s="197" t="s">
        <v>70</v>
      </c>
      <c r="C59" s="198"/>
      <c r="D59" s="199"/>
      <c r="E59" s="199"/>
      <c r="F59" s="199"/>
      <c r="G59" s="199"/>
      <c r="H59" s="200">
        <f t="shared" si="1"/>
        <v>0</v>
      </c>
      <c r="I59" s="199"/>
      <c r="J59" s="199"/>
      <c r="K59" s="199"/>
      <c r="L59" s="199"/>
      <c r="M59" s="199">
        <v>40010</v>
      </c>
      <c r="N59" s="199">
        <f>'Salvase Mawna-Ashulia'!O41</f>
        <v>285860</v>
      </c>
      <c r="O59" s="201">
        <v>137921</v>
      </c>
      <c r="P59" s="201"/>
      <c r="Q59" s="202"/>
      <c r="R59" s="201">
        <f>M59+N59+O59</f>
        <v>463791</v>
      </c>
    </row>
    <row r="60" spans="1:18" ht="28.5">
      <c r="A60" s="196"/>
      <c r="B60" s="197"/>
      <c r="C60" s="198"/>
      <c r="D60" s="199"/>
      <c r="E60" s="199"/>
      <c r="F60" s="199"/>
      <c r="G60" s="199"/>
      <c r="H60" s="200"/>
      <c r="I60" s="199"/>
      <c r="J60" s="199">
        <v>2480</v>
      </c>
      <c r="K60" s="199">
        <f>3000+10900+9130</f>
        <v>23030</v>
      </c>
      <c r="L60" s="199">
        <f>1230+922+220+1798</f>
        <v>4170</v>
      </c>
      <c r="M60" s="199">
        <f>4245+7600</f>
        <v>11845</v>
      </c>
      <c r="N60" s="199">
        <f>5985+9790+8090+3755+8615+2860+900+6140+9985+9165+10345+8880+5045+10960+350+6630+11265+10315+8710+9290+10210+16505+13380+6875+12320+9050+10670+13280+9810+22455+12055+10010</f>
        <v>293695</v>
      </c>
      <c r="O60" s="199">
        <f>12725+8610+7420+9465+8350+12950+17460+15710+16030+4795+19765</f>
        <v>133280</v>
      </c>
      <c r="P60" s="201"/>
      <c r="Q60" s="202"/>
      <c r="R60" s="196"/>
    </row>
    <row r="61" spans="1:18" ht="28.5">
      <c r="A61" s="196"/>
      <c r="B61" s="211" t="s">
        <v>92</v>
      </c>
      <c r="C61" s="203">
        <f>(C45+C46+C47+C50+C51+C53+C55+C57+C58+C59+C48+C49+C52+C54+C56)-(D45+D50+D52+D54+D56)</f>
        <v>0</v>
      </c>
      <c r="D61" s="199"/>
      <c r="E61" s="199"/>
      <c r="F61" s="199"/>
      <c r="G61" s="199"/>
      <c r="H61" s="200"/>
      <c r="I61" s="199"/>
      <c r="J61" s="199"/>
      <c r="K61" s="199"/>
      <c r="L61" s="199"/>
      <c r="M61" s="199"/>
      <c r="N61" s="199">
        <f>N59-N60</f>
        <v>-7835</v>
      </c>
      <c r="O61" s="201">
        <f>SUM(J60:O60)</f>
        <v>468500</v>
      </c>
      <c r="P61" s="201"/>
      <c r="Q61" s="202"/>
      <c r="R61" s="203">
        <f>C61+O61</f>
        <v>468500</v>
      </c>
    </row>
    <row r="62" spans="1:18">
      <c r="N62" s="87"/>
    </row>
  </sheetData>
  <mergeCells count="2">
    <mergeCell ref="B1:R1"/>
    <mergeCell ref="B43:R43"/>
  </mergeCells>
  <pageMargins left="0.7" right="0.7" top="0.75" bottom="0.75" header="0.3" footer="0.3"/>
  <pageSetup scale="5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1FBC-7C32-4E50-B865-34CDB90DB2B3}">
  <sheetPr>
    <pageSetUpPr fitToPage="1"/>
  </sheetPr>
  <dimension ref="A1:L14"/>
  <sheetViews>
    <sheetView zoomScale="71" zoomScaleNormal="71" workbookViewId="0">
      <selection activeCell="H39" sqref="H39"/>
    </sheetView>
  </sheetViews>
  <sheetFormatPr defaultRowHeight="15"/>
  <cols>
    <col min="1" max="1" width="5.42578125" bestFit="1" customWidth="1"/>
    <col min="2" max="2" width="35.7109375" bestFit="1" customWidth="1"/>
    <col min="3" max="3" width="30.28515625" bestFit="1" customWidth="1"/>
    <col min="4" max="4" width="32.7109375" bestFit="1" customWidth="1"/>
    <col min="5" max="5" width="29.28515625" bestFit="1" customWidth="1"/>
    <col min="6" max="6" width="20.7109375" bestFit="1" customWidth="1"/>
    <col min="7" max="7" width="23.140625" bestFit="1" customWidth="1"/>
    <col min="8" max="8" width="20.85546875" bestFit="1" customWidth="1"/>
    <col min="9" max="9" width="27" bestFit="1" customWidth="1"/>
    <col min="10" max="10" width="11.7109375" bestFit="1" customWidth="1"/>
    <col min="11" max="11" width="11.28515625" bestFit="1" customWidth="1"/>
    <col min="12" max="12" width="12.140625" bestFit="1" customWidth="1"/>
  </cols>
  <sheetData>
    <row r="1" spans="1:12" ht="26.25">
      <c r="A1" s="223"/>
      <c r="B1" s="310" t="s">
        <v>141</v>
      </c>
      <c r="C1" s="310"/>
      <c r="D1" s="310"/>
      <c r="E1" s="310"/>
      <c r="F1" s="310"/>
      <c r="G1" s="310"/>
      <c r="H1" s="310"/>
      <c r="I1" s="310"/>
      <c r="J1" s="310"/>
      <c r="K1" s="310"/>
      <c r="L1" s="310"/>
    </row>
    <row r="2" spans="1:12" ht="25.5">
      <c r="A2" s="79" t="s">
        <v>75</v>
      </c>
      <c r="B2" s="79" t="s">
        <v>76</v>
      </c>
      <c r="C2" s="79" t="s">
        <v>77</v>
      </c>
      <c r="D2" s="224" t="s">
        <v>139</v>
      </c>
      <c r="E2" s="79" t="s">
        <v>79</v>
      </c>
      <c r="F2" s="79" t="s">
        <v>80</v>
      </c>
      <c r="G2" s="79" t="s">
        <v>57</v>
      </c>
      <c r="H2" s="79" t="s">
        <v>81</v>
      </c>
      <c r="I2" s="79" t="s">
        <v>126</v>
      </c>
      <c r="J2" s="79" t="s">
        <v>99</v>
      </c>
      <c r="K2" s="79" t="s">
        <v>47</v>
      </c>
      <c r="L2" s="79" t="s">
        <v>84</v>
      </c>
    </row>
    <row r="3" spans="1:12" ht="26.25">
      <c r="A3" s="225">
        <v>1</v>
      </c>
      <c r="B3" s="226" t="s">
        <v>133</v>
      </c>
      <c r="C3" s="227">
        <v>16308</v>
      </c>
      <c r="D3" s="228"/>
      <c r="E3" s="228"/>
      <c r="F3" s="228"/>
      <c r="G3" s="228"/>
      <c r="H3" s="229">
        <f>(C3+E3+F3)-G3</f>
        <v>16308</v>
      </c>
      <c r="I3" s="228">
        <f>H3</f>
        <v>16308</v>
      </c>
      <c r="J3" s="230"/>
      <c r="K3" s="231">
        <f>H3-I3</f>
        <v>0</v>
      </c>
      <c r="L3" s="225"/>
    </row>
    <row r="4" spans="1:12" ht="26.25">
      <c r="A4" s="225">
        <v>2</v>
      </c>
      <c r="B4" s="226" t="s">
        <v>117</v>
      </c>
      <c r="C4" s="227">
        <v>187</v>
      </c>
      <c r="D4" s="228">
        <v>11</v>
      </c>
      <c r="E4" s="228"/>
      <c r="F4" s="228"/>
      <c r="G4" s="228"/>
      <c r="H4" s="229">
        <f t="shared" ref="H4:H13" si="0">(C4+E4+F4)-G4</f>
        <v>187</v>
      </c>
      <c r="I4" s="228">
        <f t="shared" ref="I4:I13" si="1">H4</f>
        <v>187</v>
      </c>
      <c r="J4" s="230"/>
      <c r="K4" s="231">
        <f t="shared" ref="K4:K14" si="2">H4-I4</f>
        <v>0</v>
      </c>
      <c r="L4" s="225"/>
    </row>
    <row r="5" spans="1:12" ht="26.25">
      <c r="A5" s="225">
        <v>3</v>
      </c>
      <c r="B5" s="226" t="s">
        <v>118</v>
      </c>
      <c r="C5" s="227">
        <v>255</v>
      </c>
      <c r="D5" s="228">
        <v>15</v>
      </c>
      <c r="E5" s="228"/>
      <c r="F5" s="228"/>
      <c r="G5" s="228"/>
      <c r="H5" s="229">
        <f t="shared" si="0"/>
        <v>255</v>
      </c>
      <c r="I5" s="228">
        <f t="shared" si="1"/>
        <v>255</v>
      </c>
      <c r="J5" s="230"/>
      <c r="K5" s="231">
        <f t="shared" si="2"/>
        <v>0</v>
      </c>
      <c r="L5" s="225"/>
    </row>
    <row r="6" spans="1:12" ht="26.25">
      <c r="A6" s="225">
        <v>4</v>
      </c>
      <c r="B6" s="226" t="s">
        <v>119</v>
      </c>
      <c r="C6" s="227">
        <v>170</v>
      </c>
      <c r="D6" s="228">
        <v>10</v>
      </c>
      <c r="E6" s="228"/>
      <c r="F6" s="228"/>
      <c r="G6" s="228"/>
      <c r="H6" s="229">
        <f t="shared" si="0"/>
        <v>170</v>
      </c>
      <c r="I6" s="228">
        <f t="shared" si="1"/>
        <v>170</v>
      </c>
      <c r="J6" s="230"/>
      <c r="K6" s="231">
        <f t="shared" si="2"/>
        <v>0</v>
      </c>
      <c r="L6" s="225"/>
    </row>
    <row r="7" spans="1:12" ht="26.25">
      <c r="A7" s="225">
        <v>5</v>
      </c>
      <c r="B7" s="226" t="s">
        <v>120</v>
      </c>
      <c r="C7" s="232">
        <v>7364</v>
      </c>
      <c r="D7" s="228" t="s">
        <v>127</v>
      </c>
      <c r="E7" s="228"/>
      <c r="F7" s="228"/>
      <c r="G7" s="228"/>
      <c r="H7" s="229">
        <f t="shared" si="0"/>
        <v>7364</v>
      </c>
      <c r="I7" s="228">
        <f t="shared" si="1"/>
        <v>7364</v>
      </c>
      <c r="J7" s="230"/>
      <c r="K7" s="231">
        <f t="shared" si="2"/>
        <v>0</v>
      </c>
      <c r="L7" s="225"/>
    </row>
    <row r="8" spans="1:12" ht="26.25">
      <c r="A8" s="225">
        <v>6</v>
      </c>
      <c r="B8" s="233" t="s">
        <v>132</v>
      </c>
      <c r="C8" s="227">
        <v>6803</v>
      </c>
      <c r="D8" s="228" t="s">
        <v>127</v>
      </c>
      <c r="E8" s="228"/>
      <c r="F8" s="228"/>
      <c r="G8" s="228"/>
      <c r="H8" s="229">
        <f t="shared" si="0"/>
        <v>6803</v>
      </c>
      <c r="I8" s="228">
        <f t="shared" si="1"/>
        <v>6803</v>
      </c>
      <c r="J8" s="230"/>
      <c r="K8" s="231">
        <f t="shared" si="2"/>
        <v>0</v>
      </c>
      <c r="L8" s="225"/>
    </row>
    <row r="9" spans="1:12" ht="26.25">
      <c r="A9" s="225">
        <v>7</v>
      </c>
      <c r="B9" s="233" t="s">
        <v>136</v>
      </c>
      <c r="C9" s="227">
        <f>2633+1140+230+72+153+21</f>
        <v>4249</v>
      </c>
      <c r="D9" s="228"/>
      <c r="E9" s="228"/>
      <c r="F9" s="228">
        <v>255</v>
      </c>
      <c r="G9" s="228"/>
      <c r="H9" s="229">
        <f t="shared" si="0"/>
        <v>4504</v>
      </c>
      <c r="I9" s="228">
        <f t="shared" si="1"/>
        <v>4504</v>
      </c>
      <c r="J9" s="230"/>
      <c r="K9" s="231">
        <f t="shared" si="2"/>
        <v>0</v>
      </c>
      <c r="L9" s="225"/>
    </row>
    <row r="10" spans="1:12" ht="26.25">
      <c r="A10" s="225">
        <v>8</v>
      </c>
      <c r="B10" s="233" t="s">
        <v>178</v>
      </c>
      <c r="C10" s="227">
        <v>1028</v>
      </c>
      <c r="D10" s="228" t="s">
        <v>127</v>
      </c>
      <c r="E10" s="228"/>
      <c r="F10" s="228"/>
      <c r="G10" s="228">
        <v>255</v>
      </c>
      <c r="H10" s="229">
        <f t="shared" si="0"/>
        <v>773</v>
      </c>
      <c r="I10" s="228">
        <f t="shared" si="1"/>
        <v>773</v>
      </c>
      <c r="J10" s="230"/>
      <c r="K10" s="231">
        <f t="shared" si="2"/>
        <v>0</v>
      </c>
      <c r="L10" s="225"/>
    </row>
    <row r="11" spans="1:12" ht="26.25">
      <c r="A11" s="225">
        <v>9</v>
      </c>
      <c r="B11" s="233" t="s">
        <v>137</v>
      </c>
      <c r="C11" s="227">
        <v>153</v>
      </c>
      <c r="D11" s="228"/>
      <c r="E11" s="228"/>
      <c r="F11" s="228"/>
      <c r="G11" s="228"/>
      <c r="H11" s="229">
        <f t="shared" si="0"/>
        <v>153</v>
      </c>
      <c r="I11" s="228">
        <f t="shared" si="1"/>
        <v>153</v>
      </c>
      <c r="J11" s="230"/>
      <c r="K11" s="231">
        <f t="shared" si="2"/>
        <v>0</v>
      </c>
      <c r="L11" s="225"/>
    </row>
    <row r="12" spans="1:12" ht="26.25">
      <c r="A12" s="225">
        <v>10</v>
      </c>
      <c r="B12" s="233" t="s">
        <v>138</v>
      </c>
      <c r="C12" s="227">
        <f>3650+1330+84+369+360+3740</f>
        <v>9533</v>
      </c>
      <c r="D12" s="228" t="s">
        <v>127</v>
      </c>
      <c r="E12" s="228"/>
      <c r="F12" s="228"/>
      <c r="G12" s="228"/>
      <c r="H12" s="229">
        <f t="shared" si="0"/>
        <v>9533</v>
      </c>
      <c r="I12" s="228">
        <f t="shared" si="1"/>
        <v>9533</v>
      </c>
      <c r="J12" s="230"/>
      <c r="K12" s="231">
        <f t="shared" si="2"/>
        <v>0</v>
      </c>
      <c r="L12" s="225"/>
    </row>
    <row r="13" spans="1:12" ht="26.25">
      <c r="A13" s="79">
        <v>11</v>
      </c>
      <c r="B13" s="233" t="s">
        <v>134</v>
      </c>
      <c r="C13" s="227">
        <v>544</v>
      </c>
      <c r="D13" s="12">
        <v>32</v>
      </c>
      <c r="E13" s="12">
        <f>SUM(E3:E7)</f>
        <v>0</v>
      </c>
      <c r="F13" s="12">
        <f>SUM(F3:F7)</f>
        <v>0</v>
      </c>
      <c r="G13" s="12">
        <f>SUM(G3:G7)</f>
        <v>0</v>
      </c>
      <c r="H13" s="229">
        <f t="shared" si="0"/>
        <v>544</v>
      </c>
      <c r="I13" s="228">
        <f t="shared" si="1"/>
        <v>544</v>
      </c>
      <c r="J13" s="230"/>
      <c r="K13" s="231">
        <f t="shared" si="2"/>
        <v>0</v>
      </c>
      <c r="L13" s="225"/>
    </row>
    <row r="14" spans="1:12" ht="26.25">
      <c r="A14" s="223"/>
      <c r="B14" s="81" t="s">
        <v>92</v>
      </c>
      <c r="C14" s="11">
        <f>SUM(C3:C13)</f>
        <v>46594</v>
      </c>
      <c r="D14" s="234"/>
      <c r="E14" s="234"/>
      <c r="F14" s="234"/>
      <c r="G14" s="234"/>
      <c r="H14" s="235">
        <f>SUM(H3:H13)</f>
        <v>46594</v>
      </c>
      <c r="I14" s="228">
        <f>SUM(I3:I13)</f>
        <v>46594</v>
      </c>
      <c r="J14" s="234"/>
      <c r="K14" s="236">
        <f t="shared" si="2"/>
        <v>0</v>
      </c>
      <c r="L14" s="234"/>
    </row>
  </sheetData>
  <mergeCells count="1">
    <mergeCell ref="B1:L1"/>
  </mergeCells>
  <pageMargins left="0.7" right="0.7" top="0.75" bottom="0.75" header="0.3" footer="0.3"/>
  <pageSetup scale="4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33"/>
  <sheetViews>
    <sheetView workbookViewId="0">
      <selection activeCell="P14" sqref="P14"/>
    </sheetView>
  </sheetViews>
  <sheetFormatPr defaultColWidth="9" defaultRowHeight="15"/>
  <cols>
    <col min="2" max="2" width="14.140625" customWidth="1"/>
    <col min="3" max="3" width="26" customWidth="1"/>
    <col min="4" max="4" width="15.85546875" customWidth="1"/>
    <col min="5" max="6" width="12.28515625" customWidth="1"/>
    <col min="7" max="7" width="15.85546875" customWidth="1"/>
    <col min="8" max="8" width="10.85546875" bestFit="1" customWidth="1"/>
    <col min="9" max="9" width="11.28515625" customWidth="1"/>
  </cols>
  <sheetData>
    <row r="1" spans="1:9" ht="21">
      <c r="A1" s="288" t="s">
        <v>200</v>
      </c>
      <c r="B1" s="288"/>
      <c r="C1" s="288"/>
      <c r="D1" s="288"/>
      <c r="E1" s="288"/>
      <c r="F1" s="288"/>
      <c r="G1" s="288"/>
      <c r="H1" s="288"/>
      <c r="I1" s="288"/>
    </row>
    <row r="2" spans="1:9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149</v>
      </c>
      <c r="F2" s="18" t="s">
        <v>125</v>
      </c>
      <c r="G2" s="18" t="s">
        <v>8</v>
      </c>
      <c r="H2" s="17" t="s">
        <v>9</v>
      </c>
      <c r="I2" s="17" t="s">
        <v>10</v>
      </c>
    </row>
    <row r="3" spans="1:9" ht="15.75">
      <c r="A3" s="19">
        <v>1</v>
      </c>
      <c r="B3" s="20" t="s">
        <v>201</v>
      </c>
      <c r="C3" s="21" t="s">
        <v>14</v>
      </c>
      <c r="D3" s="20">
        <v>3650</v>
      </c>
      <c r="E3" s="20">
        <v>72</v>
      </c>
      <c r="F3" s="22"/>
      <c r="G3" s="22"/>
      <c r="H3" s="20"/>
      <c r="I3" s="31"/>
    </row>
    <row r="4" spans="1:9" ht="15.75">
      <c r="A4" s="19">
        <v>2</v>
      </c>
      <c r="B4" s="20" t="s">
        <v>201</v>
      </c>
      <c r="C4" s="21" t="s">
        <v>15</v>
      </c>
      <c r="D4" s="20">
        <v>1330</v>
      </c>
      <c r="E4" s="19">
        <v>70</v>
      </c>
      <c r="F4" s="23"/>
      <c r="G4" s="23"/>
      <c r="H4" s="19"/>
      <c r="I4" s="31"/>
    </row>
    <row r="5" spans="1:9" ht="15.75">
      <c r="A5" s="19">
        <v>3</v>
      </c>
      <c r="B5" s="20" t="s">
        <v>201</v>
      </c>
      <c r="C5" s="21" t="s">
        <v>16</v>
      </c>
      <c r="D5" s="20">
        <v>0</v>
      </c>
      <c r="E5" s="19">
        <v>0</v>
      </c>
      <c r="F5" s="23"/>
      <c r="G5" s="23"/>
      <c r="H5" s="19"/>
      <c r="I5" s="31"/>
    </row>
    <row r="6" spans="1:9" ht="15.75">
      <c r="A6" s="19">
        <v>4</v>
      </c>
      <c r="B6" s="20" t="s">
        <v>201</v>
      </c>
      <c r="C6" s="21" t="s">
        <v>17</v>
      </c>
      <c r="D6" s="20">
        <v>0</v>
      </c>
      <c r="E6" s="19">
        <v>0</v>
      </c>
      <c r="F6" s="23"/>
      <c r="G6" s="23"/>
      <c r="H6" s="19"/>
      <c r="I6" s="31"/>
    </row>
    <row r="7" spans="1:9" ht="15.75">
      <c r="A7" s="19">
        <v>5</v>
      </c>
      <c r="B7" s="20" t="s">
        <v>201</v>
      </c>
      <c r="C7" s="21" t="s">
        <v>18</v>
      </c>
      <c r="D7" s="20">
        <v>0</v>
      </c>
      <c r="E7" s="19">
        <v>0</v>
      </c>
      <c r="F7" s="23"/>
      <c r="G7" s="23"/>
      <c r="H7" s="19"/>
      <c r="I7" s="31"/>
    </row>
    <row r="8" spans="1:9" ht="15.75">
      <c r="A8" s="19">
        <v>6</v>
      </c>
      <c r="B8" s="20" t="s">
        <v>201</v>
      </c>
      <c r="C8" s="21" t="s">
        <v>19</v>
      </c>
      <c r="D8" s="20">
        <v>0</v>
      </c>
      <c r="E8" s="19">
        <v>0</v>
      </c>
      <c r="F8" s="23"/>
      <c r="G8" s="23"/>
      <c r="H8" s="19"/>
      <c r="I8" s="31"/>
    </row>
    <row r="9" spans="1:9" ht="15.75">
      <c r="A9" s="19">
        <v>7</v>
      </c>
      <c r="B9" s="20" t="s">
        <v>201</v>
      </c>
      <c r="C9" s="24" t="s">
        <v>20</v>
      </c>
      <c r="D9" s="20">
        <v>0</v>
      </c>
      <c r="E9" s="19">
        <v>0</v>
      </c>
      <c r="F9" s="23"/>
      <c r="G9" s="23"/>
      <c r="H9" s="19"/>
      <c r="I9" s="31"/>
    </row>
    <row r="10" spans="1:9" ht="15.75">
      <c r="A10" s="19">
        <v>8</v>
      </c>
      <c r="B10" s="20" t="s">
        <v>201</v>
      </c>
      <c r="C10" s="24" t="s">
        <v>22</v>
      </c>
      <c r="D10" s="20">
        <v>0</v>
      </c>
      <c r="E10" s="19">
        <v>0</v>
      </c>
      <c r="F10" s="23"/>
      <c r="G10" s="23"/>
      <c r="H10" s="19"/>
      <c r="I10" s="31"/>
    </row>
    <row r="11" spans="1:9" ht="15.75">
      <c r="A11" s="19">
        <v>9</v>
      </c>
      <c r="B11" s="20" t="s">
        <v>201</v>
      </c>
      <c r="C11" s="24" t="s">
        <v>23</v>
      </c>
      <c r="D11" s="20">
        <v>0</v>
      </c>
      <c r="E11" s="19">
        <v>0</v>
      </c>
      <c r="F11" s="23"/>
      <c r="G11" s="23"/>
      <c r="H11" s="33"/>
      <c r="I11" s="31"/>
    </row>
    <row r="12" spans="1:9" ht="15.75">
      <c r="A12" s="19">
        <v>10</v>
      </c>
      <c r="B12" s="20" t="s">
        <v>201</v>
      </c>
      <c r="C12" s="24" t="s">
        <v>25</v>
      </c>
      <c r="D12" s="20">
        <v>0</v>
      </c>
      <c r="E12" s="19">
        <v>0</v>
      </c>
      <c r="F12" s="23"/>
      <c r="G12" s="23"/>
      <c r="H12" s="19"/>
      <c r="I12" s="31"/>
    </row>
    <row r="13" spans="1:9" ht="15.75">
      <c r="A13" s="19">
        <v>11</v>
      </c>
      <c r="B13" s="20" t="s">
        <v>201</v>
      </c>
      <c r="C13" s="24" t="s">
        <v>26</v>
      </c>
      <c r="D13" s="20">
        <v>360</v>
      </c>
      <c r="E13" s="19">
        <v>60</v>
      </c>
      <c r="F13" s="23"/>
      <c r="G13" s="23"/>
      <c r="H13" s="19"/>
      <c r="I13" s="31"/>
    </row>
    <row r="14" spans="1:9" ht="15.75">
      <c r="A14" s="19">
        <v>12</v>
      </c>
      <c r="B14" s="20" t="s">
        <v>201</v>
      </c>
      <c r="C14" s="21" t="s">
        <v>27</v>
      </c>
      <c r="D14" s="20">
        <v>0</v>
      </c>
      <c r="E14" s="19">
        <v>0</v>
      </c>
      <c r="F14" s="23"/>
      <c r="G14" s="23"/>
      <c r="H14" s="19"/>
      <c r="I14" s="31"/>
    </row>
    <row r="15" spans="1:9" ht="15.75">
      <c r="A15" s="19">
        <v>13</v>
      </c>
      <c r="B15" s="20" t="s">
        <v>201</v>
      </c>
      <c r="C15" s="25" t="s">
        <v>28</v>
      </c>
      <c r="D15" s="20">
        <v>3740</v>
      </c>
      <c r="E15" s="19">
        <v>220</v>
      </c>
      <c r="F15" s="23"/>
      <c r="G15" s="23"/>
      <c r="H15" s="19"/>
      <c r="I15" s="31"/>
    </row>
    <row r="16" spans="1:9" ht="15.75">
      <c r="A16" s="19">
        <v>14</v>
      </c>
      <c r="B16" s="20" t="s">
        <v>201</v>
      </c>
      <c r="C16" s="25" t="s">
        <v>29</v>
      </c>
      <c r="D16" s="20">
        <v>0</v>
      </c>
      <c r="E16" s="19">
        <v>0</v>
      </c>
      <c r="F16" s="23"/>
      <c r="G16" s="23"/>
      <c r="H16" s="19"/>
      <c r="I16" s="31"/>
    </row>
    <row r="17" spans="1:9" ht="15.75">
      <c r="A17" s="19">
        <v>15</v>
      </c>
      <c r="B17" s="20" t="s">
        <v>201</v>
      </c>
      <c r="C17" s="25" t="s">
        <v>30</v>
      </c>
      <c r="D17" s="20">
        <v>0</v>
      </c>
      <c r="E17" s="19">
        <v>0</v>
      </c>
      <c r="F17" s="23"/>
      <c r="G17" s="23"/>
      <c r="H17" s="19"/>
      <c r="I17" s="31"/>
    </row>
    <row r="18" spans="1:9" ht="15.75">
      <c r="A18" s="19">
        <v>16</v>
      </c>
      <c r="B18" s="20" t="s">
        <v>201</v>
      </c>
      <c r="C18" s="25" t="s">
        <v>31</v>
      </c>
      <c r="D18" s="20">
        <v>0</v>
      </c>
      <c r="E18" s="19">
        <v>0</v>
      </c>
      <c r="F18" s="23"/>
      <c r="G18" s="23"/>
      <c r="H18" s="19"/>
      <c r="I18" s="31"/>
    </row>
    <row r="19" spans="1:9" ht="15.75">
      <c r="A19" s="19">
        <v>17</v>
      </c>
      <c r="B19" s="20" t="s">
        <v>201</v>
      </c>
      <c r="C19" s="25" t="s">
        <v>32</v>
      </c>
      <c r="D19" s="20">
        <v>0</v>
      </c>
      <c r="E19" s="19">
        <v>0</v>
      </c>
      <c r="F19" s="23"/>
      <c r="G19" s="23"/>
      <c r="H19" s="19"/>
      <c r="I19" s="31"/>
    </row>
    <row r="20" spans="1:9" ht="15.75">
      <c r="A20" s="19">
        <v>18</v>
      </c>
      <c r="B20" s="20" t="s">
        <v>201</v>
      </c>
      <c r="C20" s="25" t="s">
        <v>33</v>
      </c>
      <c r="D20" s="20">
        <v>0</v>
      </c>
      <c r="E20" s="19">
        <v>0</v>
      </c>
      <c r="F20" s="23"/>
      <c r="G20" s="23"/>
      <c r="H20" s="19"/>
      <c r="I20" s="31"/>
    </row>
    <row r="21" spans="1:9" ht="15.75">
      <c r="A21" s="19">
        <v>19</v>
      </c>
      <c r="B21" s="20" t="s">
        <v>201</v>
      </c>
      <c r="C21" s="25" t="s">
        <v>34</v>
      </c>
      <c r="D21" s="20">
        <v>0</v>
      </c>
      <c r="E21" s="19">
        <v>0</v>
      </c>
      <c r="F21" s="23"/>
      <c r="G21" s="23"/>
      <c r="H21" s="19"/>
      <c r="I21" s="31"/>
    </row>
    <row r="22" spans="1:9" ht="15.75">
      <c r="A22" s="19">
        <v>20</v>
      </c>
      <c r="B22" s="20" t="s">
        <v>201</v>
      </c>
      <c r="C22" s="25" t="s">
        <v>35</v>
      </c>
      <c r="D22" s="20">
        <v>0</v>
      </c>
      <c r="E22" s="19">
        <v>0</v>
      </c>
      <c r="F22" s="23"/>
      <c r="G22" s="23"/>
      <c r="H22" s="19"/>
      <c r="I22" s="31"/>
    </row>
    <row r="23" spans="1:9" ht="15.75">
      <c r="A23" s="19">
        <v>21</v>
      </c>
      <c r="B23" s="20" t="s">
        <v>201</v>
      </c>
      <c r="C23" s="25" t="s">
        <v>36</v>
      </c>
      <c r="D23" s="20">
        <v>0</v>
      </c>
      <c r="E23" s="19">
        <v>0</v>
      </c>
      <c r="F23" s="23"/>
      <c r="G23" s="23"/>
      <c r="H23" s="19"/>
      <c r="I23" s="31"/>
    </row>
    <row r="24" spans="1:9" ht="15.75">
      <c r="A24" s="19">
        <v>22</v>
      </c>
      <c r="B24" s="20" t="s">
        <v>201</v>
      </c>
      <c r="C24" s="25" t="s">
        <v>37</v>
      </c>
      <c r="D24" s="20">
        <v>18</v>
      </c>
      <c r="E24" s="19">
        <v>0</v>
      </c>
      <c r="F24" s="23"/>
      <c r="G24" s="23"/>
      <c r="H24" s="19"/>
      <c r="I24" s="31"/>
    </row>
    <row r="25" spans="1:9" ht="15.75">
      <c r="A25" s="19">
        <v>23</v>
      </c>
      <c r="B25" s="20" t="s">
        <v>201</v>
      </c>
      <c r="C25" s="21" t="s">
        <v>38</v>
      </c>
      <c r="D25" s="26">
        <v>0</v>
      </c>
      <c r="E25" s="19">
        <v>0</v>
      </c>
      <c r="F25" s="23"/>
      <c r="G25" s="23"/>
      <c r="H25" s="19"/>
      <c r="I25" s="31"/>
    </row>
    <row r="26" spans="1:9" ht="15.75">
      <c r="A26" s="19">
        <v>24</v>
      </c>
      <c r="B26" s="20" t="s">
        <v>201</v>
      </c>
      <c r="C26" s="21" t="s">
        <v>39</v>
      </c>
      <c r="D26" s="101">
        <v>84</v>
      </c>
      <c r="E26" s="19">
        <v>60</v>
      </c>
      <c r="F26" s="23"/>
      <c r="G26" s="23"/>
      <c r="H26" s="19"/>
      <c r="I26" s="31"/>
    </row>
    <row r="27" spans="1:9" ht="15.75">
      <c r="A27" s="19">
        <v>25</v>
      </c>
      <c r="B27" s="20" t="s">
        <v>201</v>
      </c>
      <c r="C27" s="21" t="s">
        <v>40</v>
      </c>
      <c r="D27" s="27">
        <v>0</v>
      </c>
      <c r="E27" s="19">
        <v>0</v>
      </c>
      <c r="F27" s="23"/>
      <c r="G27" s="23"/>
      <c r="H27" s="19"/>
      <c r="I27" s="31"/>
    </row>
    <row r="28" spans="1:9" ht="15.75">
      <c r="A28" s="19">
        <v>26</v>
      </c>
      <c r="B28" s="20" t="s">
        <v>201</v>
      </c>
      <c r="C28" s="21" t="s">
        <v>41</v>
      </c>
      <c r="D28" s="27">
        <v>0</v>
      </c>
      <c r="E28" s="19">
        <v>0</v>
      </c>
      <c r="F28" s="29"/>
      <c r="G28" s="29"/>
      <c r="H28" s="28"/>
      <c r="I28" s="31"/>
    </row>
    <row r="29" spans="1:9" ht="15.75">
      <c r="A29" s="19">
        <v>27</v>
      </c>
      <c r="B29" s="20" t="s">
        <v>201</v>
      </c>
      <c r="C29" s="21" t="s">
        <v>42</v>
      </c>
      <c r="D29" s="27">
        <v>0</v>
      </c>
      <c r="E29" s="19">
        <v>0</v>
      </c>
      <c r="F29" s="29"/>
      <c r="G29" s="29"/>
      <c r="H29" s="28"/>
      <c r="I29" s="31"/>
    </row>
    <row r="30" spans="1:9" ht="15.75">
      <c r="A30" s="19">
        <v>31</v>
      </c>
      <c r="B30" s="20" t="s">
        <v>201</v>
      </c>
      <c r="C30" s="21" t="s">
        <v>43</v>
      </c>
      <c r="D30" s="27"/>
      <c r="E30" s="19">
        <v>0</v>
      </c>
      <c r="F30" s="29"/>
      <c r="G30" s="29"/>
      <c r="H30" s="28"/>
      <c r="I30" s="31"/>
    </row>
    <row r="31" spans="1:9">
      <c r="A31" s="20"/>
      <c r="B31" s="20"/>
      <c r="C31" s="20"/>
      <c r="D31" s="30">
        <f>SUM(D3:D30)</f>
        <v>9182</v>
      </c>
      <c r="E31" s="20">
        <v>0</v>
      </c>
      <c r="F31" s="22">
        <f>SUM(F3:F30)</f>
        <v>0</v>
      </c>
      <c r="G31" s="22">
        <f>SUM(G3:G30)</f>
        <v>0</v>
      </c>
      <c r="H31" s="20"/>
      <c r="I31" s="31"/>
    </row>
    <row r="32" spans="1:9">
      <c r="A32" s="28"/>
      <c r="B32" s="28"/>
      <c r="C32" s="28"/>
      <c r="D32" s="28"/>
      <c r="E32" s="28"/>
      <c r="F32" s="28"/>
      <c r="G32" s="20"/>
      <c r="H32" s="20"/>
      <c r="I32" s="31"/>
    </row>
    <row r="33" spans="8:9">
      <c r="H33" s="35" t="s">
        <v>47</v>
      </c>
      <c r="I33" s="36"/>
    </row>
  </sheetData>
  <mergeCells count="1">
    <mergeCell ref="A1:I1"/>
  </mergeCells>
  <pageMargins left="0.7" right="0.7" top="0.75" bottom="0.75" header="0.3" footer="0.3"/>
  <pageSetup paperSize="9" scale="68" orientation="portrait" r:id="rId1"/>
  <ignoredErrors>
    <ignoredError sqref="J5:J11" evalError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BE0-F571-4B94-8E33-69ED4EF83C9D}">
  <sheetPr>
    <pageSetUpPr fitToPage="1"/>
  </sheetPr>
  <dimension ref="A1:H32"/>
  <sheetViews>
    <sheetView workbookViewId="0">
      <selection activeCell="A2" sqref="A2"/>
    </sheetView>
  </sheetViews>
  <sheetFormatPr defaultRowHeight="15"/>
  <cols>
    <col min="1" max="1" width="3" bestFit="1" customWidth="1"/>
    <col min="2" max="2" width="14.140625" bestFit="1" customWidth="1"/>
    <col min="3" max="3" width="26" bestFit="1" customWidth="1"/>
    <col min="4" max="4" width="13.42578125" bestFit="1" customWidth="1"/>
    <col min="5" max="5" width="12.28515625" bestFit="1" customWidth="1"/>
    <col min="6" max="6" width="11.85546875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0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133</v>
      </c>
      <c r="C3" s="21" t="s">
        <v>14</v>
      </c>
      <c r="D3" s="20">
        <f>4851.99</f>
        <v>4851.99</v>
      </c>
      <c r="E3" s="20"/>
      <c r="F3" s="22"/>
      <c r="G3" s="22"/>
      <c r="H3" s="20"/>
    </row>
    <row r="4" spans="1:8" ht="15.75">
      <c r="A4" s="19">
        <v>2</v>
      </c>
      <c r="B4" s="20" t="s">
        <v>133</v>
      </c>
      <c r="C4" s="21" t="s">
        <v>15</v>
      </c>
      <c r="D4" s="20">
        <v>4657</v>
      </c>
      <c r="E4" s="19">
        <v>245</v>
      </c>
      <c r="F4" s="23"/>
      <c r="G4" s="23"/>
      <c r="H4" s="19"/>
    </row>
    <row r="5" spans="1:8" ht="15.75">
      <c r="A5" s="19">
        <v>3</v>
      </c>
      <c r="B5" s="20" t="s">
        <v>133</v>
      </c>
      <c r="C5" s="21" t="s">
        <v>16</v>
      </c>
      <c r="D5" s="20">
        <v>481</v>
      </c>
      <c r="E5" s="19">
        <v>13</v>
      </c>
      <c r="F5" s="23"/>
      <c r="G5" s="23"/>
      <c r="H5" s="19"/>
    </row>
    <row r="6" spans="1:8" ht="15.75">
      <c r="A6" s="19">
        <v>4</v>
      </c>
      <c r="B6" s="20" t="s">
        <v>133</v>
      </c>
      <c r="C6" s="21" t="s">
        <v>17</v>
      </c>
      <c r="D6" s="20">
        <v>255</v>
      </c>
      <c r="E6" s="19">
        <v>15</v>
      </c>
      <c r="F6" s="23"/>
      <c r="G6" s="23"/>
      <c r="H6" s="19"/>
    </row>
    <row r="7" spans="1:8" ht="15.75">
      <c r="A7" s="19">
        <v>5</v>
      </c>
      <c r="B7" s="20" t="s">
        <v>133</v>
      </c>
      <c r="C7" s="21" t="s">
        <v>18</v>
      </c>
      <c r="D7" s="20">
        <v>185</v>
      </c>
      <c r="E7" s="19">
        <v>37</v>
      </c>
      <c r="F7" s="23"/>
      <c r="G7" s="23"/>
      <c r="H7" s="19"/>
    </row>
    <row r="8" spans="1:8" ht="15.75">
      <c r="A8" s="19">
        <v>6</v>
      </c>
      <c r="B8" s="20" t="s">
        <v>133</v>
      </c>
      <c r="C8" s="21" t="s">
        <v>19</v>
      </c>
      <c r="D8" s="20">
        <v>76.8</v>
      </c>
      <c r="E8" s="19">
        <v>128</v>
      </c>
      <c r="F8" s="23"/>
      <c r="G8" s="23"/>
      <c r="H8" s="19"/>
    </row>
    <row r="9" spans="1:8" ht="15.75">
      <c r="A9" s="19">
        <v>7</v>
      </c>
      <c r="B9" s="20" t="s">
        <v>133</v>
      </c>
      <c r="C9" s="24" t="s">
        <v>20</v>
      </c>
      <c r="D9" s="20">
        <v>190</v>
      </c>
      <c r="E9" s="19">
        <v>38</v>
      </c>
      <c r="F9" s="23"/>
      <c r="G9" s="23"/>
      <c r="H9" s="19"/>
    </row>
    <row r="10" spans="1:8" ht="15.75">
      <c r="A10" s="19">
        <v>8</v>
      </c>
      <c r="B10" s="20" t="s">
        <v>133</v>
      </c>
      <c r="C10" s="24" t="s">
        <v>22</v>
      </c>
      <c r="D10" s="20">
        <v>175</v>
      </c>
      <c r="E10" s="19">
        <v>35</v>
      </c>
      <c r="F10" s="23"/>
      <c r="G10" s="23"/>
      <c r="H10" s="19"/>
    </row>
    <row r="11" spans="1:8" ht="15.75">
      <c r="A11" s="19">
        <v>9</v>
      </c>
      <c r="B11" s="20" t="s">
        <v>133</v>
      </c>
      <c r="C11" s="24" t="s">
        <v>23</v>
      </c>
      <c r="D11" s="20">
        <v>0</v>
      </c>
      <c r="E11" s="19">
        <v>0</v>
      </c>
      <c r="F11" s="23"/>
      <c r="G11" s="23"/>
      <c r="H11" s="33"/>
    </row>
    <row r="12" spans="1:8" ht="15.75">
      <c r="A12" s="19">
        <v>10</v>
      </c>
      <c r="B12" s="20" t="s">
        <v>133</v>
      </c>
      <c r="C12" s="24" t="s">
        <v>25</v>
      </c>
      <c r="D12" s="20">
        <v>0</v>
      </c>
      <c r="E12" s="19">
        <v>0</v>
      </c>
      <c r="F12" s="23"/>
      <c r="G12" s="23"/>
      <c r="H12" s="19"/>
    </row>
    <row r="13" spans="1:8" ht="15.75">
      <c r="A13" s="19">
        <v>11</v>
      </c>
      <c r="B13" s="20" t="s">
        <v>133</v>
      </c>
      <c r="C13" s="24" t="s">
        <v>26</v>
      </c>
      <c r="D13" s="20">
        <v>80</v>
      </c>
      <c r="E13" s="19">
        <v>0</v>
      </c>
      <c r="F13" s="23"/>
      <c r="G13" s="23"/>
      <c r="H13" s="19"/>
    </row>
    <row r="14" spans="1:8" ht="15.75">
      <c r="A14" s="19">
        <v>12</v>
      </c>
      <c r="B14" s="20" t="s">
        <v>133</v>
      </c>
      <c r="C14" s="21" t="s">
        <v>27</v>
      </c>
      <c r="D14" s="20">
        <v>0</v>
      </c>
      <c r="E14" s="19">
        <v>0</v>
      </c>
      <c r="F14" s="23"/>
      <c r="G14" s="23"/>
      <c r="H14" s="19"/>
    </row>
    <row r="15" spans="1:8" ht="15.75">
      <c r="A15" s="19">
        <v>13</v>
      </c>
      <c r="B15" s="20" t="s">
        <v>133</v>
      </c>
      <c r="C15" s="25" t="s">
        <v>28</v>
      </c>
      <c r="D15" s="20">
        <v>1588</v>
      </c>
      <c r="E15" s="19">
        <v>100</v>
      </c>
      <c r="F15" s="23"/>
      <c r="G15" s="23"/>
      <c r="H15" s="19"/>
    </row>
    <row r="16" spans="1:8" ht="15.75">
      <c r="A16" s="19">
        <v>14</v>
      </c>
      <c r="B16" s="20" t="s">
        <v>133</v>
      </c>
      <c r="C16" s="25" t="s">
        <v>29</v>
      </c>
      <c r="D16" s="20">
        <v>0</v>
      </c>
      <c r="E16" s="19">
        <v>0</v>
      </c>
      <c r="F16" s="23"/>
      <c r="G16" s="23"/>
      <c r="H16" s="19"/>
    </row>
    <row r="17" spans="1:8" ht="15.75">
      <c r="A17" s="19">
        <v>15</v>
      </c>
      <c r="B17" s="20" t="s">
        <v>133</v>
      </c>
      <c r="C17" s="25" t="s">
        <v>30</v>
      </c>
      <c r="D17" s="20">
        <v>0</v>
      </c>
      <c r="E17" s="19">
        <v>0</v>
      </c>
      <c r="F17" s="23"/>
      <c r="G17" s="23"/>
      <c r="H17" s="19"/>
    </row>
    <row r="18" spans="1:8" ht="15.75">
      <c r="A18" s="19">
        <v>16</v>
      </c>
      <c r="B18" s="20" t="s">
        <v>133</v>
      </c>
      <c r="C18" s="25" t="s">
        <v>31</v>
      </c>
      <c r="D18" s="20">
        <v>3998.44</v>
      </c>
      <c r="E18" s="19">
        <v>0</v>
      </c>
      <c r="F18" s="23"/>
      <c r="G18" s="23"/>
      <c r="H18" s="19"/>
    </row>
    <row r="19" spans="1:8" ht="15.75">
      <c r="A19" s="19">
        <v>17</v>
      </c>
      <c r="B19" s="20" t="s">
        <v>133</v>
      </c>
      <c r="C19" s="25" t="s">
        <v>32</v>
      </c>
      <c r="D19" s="20">
        <v>0</v>
      </c>
      <c r="E19" s="19">
        <v>0</v>
      </c>
      <c r="F19" s="23"/>
      <c r="G19" s="23"/>
      <c r="H19" s="19"/>
    </row>
    <row r="20" spans="1:8" ht="15.75">
      <c r="A20" s="19">
        <v>18</v>
      </c>
      <c r="B20" s="20" t="s">
        <v>133</v>
      </c>
      <c r="C20" s="25" t="s">
        <v>33</v>
      </c>
      <c r="D20" s="20">
        <v>0</v>
      </c>
      <c r="E20" s="19">
        <v>0</v>
      </c>
      <c r="F20" s="23"/>
      <c r="G20" s="23"/>
      <c r="H20" s="19"/>
    </row>
    <row r="21" spans="1:8" ht="15.75">
      <c r="A21" s="19">
        <v>19</v>
      </c>
      <c r="B21" s="20" t="s">
        <v>133</v>
      </c>
      <c r="C21" s="25" t="s">
        <v>34</v>
      </c>
      <c r="D21" s="20">
        <v>0</v>
      </c>
      <c r="E21" s="19">
        <v>0</v>
      </c>
      <c r="F21" s="23"/>
      <c r="G21" s="23"/>
      <c r="H21" s="19"/>
    </row>
    <row r="22" spans="1:8" ht="15.75">
      <c r="A22" s="19">
        <v>20</v>
      </c>
      <c r="B22" s="20" t="s">
        <v>133</v>
      </c>
      <c r="C22" s="25" t="s">
        <v>35</v>
      </c>
      <c r="D22" s="20">
        <v>0</v>
      </c>
      <c r="E22" s="19">
        <v>0</v>
      </c>
      <c r="F22" s="23"/>
      <c r="G22" s="23"/>
      <c r="H22" s="19"/>
    </row>
    <row r="23" spans="1:8" ht="15.75">
      <c r="A23" s="19">
        <v>21</v>
      </c>
      <c r="B23" s="20" t="s">
        <v>133</v>
      </c>
      <c r="C23" s="25" t="s">
        <v>36</v>
      </c>
      <c r="D23" s="20">
        <v>0</v>
      </c>
      <c r="E23" s="19">
        <v>0</v>
      </c>
      <c r="F23" s="23"/>
      <c r="G23" s="23"/>
      <c r="H23" s="19"/>
    </row>
    <row r="24" spans="1:8" ht="15.75">
      <c r="A24" s="19">
        <v>22</v>
      </c>
      <c r="B24" s="20" t="s">
        <v>133</v>
      </c>
      <c r="C24" s="25" t="s">
        <v>37</v>
      </c>
      <c r="D24" s="20">
        <v>0</v>
      </c>
      <c r="E24" s="19">
        <v>0</v>
      </c>
      <c r="F24" s="23"/>
      <c r="G24" s="23"/>
      <c r="H24" s="19"/>
    </row>
    <row r="25" spans="1:8" ht="15.75">
      <c r="A25" s="19">
        <v>23</v>
      </c>
      <c r="B25" s="20" t="s">
        <v>133</v>
      </c>
      <c r="C25" s="21" t="s">
        <v>38</v>
      </c>
      <c r="D25" s="20">
        <v>0</v>
      </c>
      <c r="E25" s="19">
        <v>0</v>
      </c>
      <c r="F25" s="23"/>
      <c r="G25" s="23"/>
      <c r="H25" s="19"/>
    </row>
    <row r="26" spans="1:8" ht="15.75">
      <c r="A26" s="19">
        <v>24</v>
      </c>
      <c r="B26" s="20" t="s">
        <v>133</v>
      </c>
      <c r="C26" s="21" t="s">
        <v>39</v>
      </c>
      <c r="D26" s="20">
        <v>0</v>
      </c>
      <c r="E26" s="19">
        <v>0</v>
      </c>
      <c r="F26" s="23"/>
      <c r="G26" s="23"/>
      <c r="H26" s="19"/>
    </row>
    <row r="27" spans="1:8" ht="15.75">
      <c r="A27" s="19">
        <v>25</v>
      </c>
      <c r="B27" s="20" t="s">
        <v>133</v>
      </c>
      <c r="C27" s="21" t="s">
        <v>40</v>
      </c>
      <c r="D27" s="20">
        <v>0</v>
      </c>
      <c r="E27" s="19">
        <v>0</v>
      </c>
      <c r="F27" s="23"/>
      <c r="G27" s="23"/>
      <c r="H27" s="19"/>
    </row>
    <row r="28" spans="1:8" ht="15.75">
      <c r="A28" s="19">
        <v>26</v>
      </c>
      <c r="B28" s="20" t="s">
        <v>133</v>
      </c>
      <c r="C28" s="21" t="s">
        <v>41</v>
      </c>
      <c r="D28" s="20">
        <v>0</v>
      </c>
      <c r="E28" s="19">
        <v>0</v>
      </c>
      <c r="F28" s="29"/>
      <c r="G28" s="29"/>
      <c r="H28" s="28"/>
    </row>
    <row r="29" spans="1:8" ht="15.75">
      <c r="A29" s="19">
        <v>27</v>
      </c>
      <c r="B29" s="20" t="s">
        <v>133</v>
      </c>
      <c r="C29" s="21" t="s">
        <v>42</v>
      </c>
      <c r="D29" s="20">
        <v>0</v>
      </c>
      <c r="E29" s="19">
        <v>0</v>
      </c>
      <c r="F29" s="29"/>
      <c r="G29" s="29"/>
      <c r="H29" s="28"/>
    </row>
    <row r="30" spans="1:8" ht="15.75">
      <c r="A30" s="19">
        <v>31</v>
      </c>
      <c r="B30" s="20" t="s">
        <v>133</v>
      </c>
      <c r="C30" s="21" t="s">
        <v>43</v>
      </c>
      <c r="D30" s="20">
        <v>0</v>
      </c>
      <c r="E30" s="19">
        <v>0</v>
      </c>
      <c r="F30" s="29"/>
      <c r="G30" s="29"/>
      <c r="H30" s="28"/>
    </row>
    <row r="31" spans="1:8">
      <c r="A31" s="20"/>
      <c r="B31" s="20"/>
      <c r="C31" s="20"/>
      <c r="D31" s="30">
        <f>SUM(D3:D30)</f>
        <v>16538.23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8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8D2A-BADC-415A-BB6A-9F4124D2262A}">
  <sheetPr>
    <pageSetUpPr fitToPage="1"/>
  </sheetPr>
  <dimension ref="A1:H32"/>
  <sheetViews>
    <sheetView workbookViewId="0">
      <selection activeCell="D5" sqref="D5"/>
    </sheetView>
  </sheetViews>
  <sheetFormatPr defaultRowHeight="15"/>
  <cols>
    <col min="1" max="1" width="9.42578125" customWidth="1"/>
    <col min="2" max="2" width="16.570312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.85546875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0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202</v>
      </c>
      <c r="G2" s="18" t="s">
        <v>8</v>
      </c>
      <c r="H2" s="17" t="s">
        <v>9</v>
      </c>
    </row>
    <row r="3" spans="1:8" ht="15.75">
      <c r="A3" s="19">
        <v>1</v>
      </c>
      <c r="B3" s="20" t="s">
        <v>136</v>
      </c>
      <c r="C3" s="21" t="s">
        <v>14</v>
      </c>
      <c r="D3" s="20">
        <v>2633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136</v>
      </c>
      <c r="C4" s="21" t="s">
        <v>15</v>
      </c>
      <c r="D4" s="20">
        <v>2470</v>
      </c>
      <c r="E4" s="20">
        <v>145</v>
      </c>
      <c r="F4" s="23"/>
      <c r="G4" s="23"/>
      <c r="H4" s="19"/>
    </row>
    <row r="5" spans="1:8" ht="15.75">
      <c r="A5" s="19">
        <v>3</v>
      </c>
      <c r="B5" s="20" t="s">
        <v>136</v>
      </c>
      <c r="C5" s="21" t="s">
        <v>16</v>
      </c>
      <c r="D5" s="20">
        <v>2590</v>
      </c>
      <c r="E5" s="20">
        <v>70</v>
      </c>
      <c r="F5" s="23"/>
      <c r="G5" s="23"/>
      <c r="H5" s="19"/>
    </row>
    <row r="6" spans="1:8" ht="15.75">
      <c r="A6" s="19">
        <v>4</v>
      </c>
      <c r="B6" s="20" t="s">
        <v>136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136</v>
      </c>
      <c r="C7" s="21" t="s">
        <v>18</v>
      </c>
      <c r="D7" s="20">
        <v>680</v>
      </c>
      <c r="E7" s="20">
        <v>136</v>
      </c>
      <c r="F7" s="23"/>
      <c r="G7" s="23"/>
      <c r="H7" s="19"/>
    </row>
    <row r="8" spans="1:8" ht="15.75">
      <c r="A8" s="19">
        <v>6</v>
      </c>
      <c r="B8" s="20" t="s">
        <v>136</v>
      </c>
      <c r="C8" s="21" t="s">
        <v>19</v>
      </c>
      <c r="D8" s="20">
        <v>1.2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136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136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136</v>
      </c>
      <c r="C11" s="24" t="s">
        <v>23</v>
      </c>
      <c r="D11" s="20">
        <v>0.8</v>
      </c>
      <c r="E11" s="20">
        <v>1</v>
      </c>
      <c r="F11" s="23"/>
      <c r="G11" s="23"/>
      <c r="H11" s="33"/>
    </row>
    <row r="12" spans="1:8" ht="15.75">
      <c r="A12" s="19">
        <v>10</v>
      </c>
      <c r="B12" s="20" t="s">
        <v>136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136</v>
      </c>
      <c r="C13" s="24" t="s">
        <v>26</v>
      </c>
      <c r="D13" s="20">
        <v>384</v>
      </c>
      <c r="E13" s="20">
        <v>64</v>
      </c>
      <c r="F13" s="23"/>
      <c r="G13" s="23"/>
      <c r="H13" s="19"/>
    </row>
    <row r="14" spans="1:8" ht="15.75">
      <c r="A14" s="19">
        <v>12</v>
      </c>
      <c r="B14" s="20" t="s">
        <v>136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136</v>
      </c>
      <c r="C15" s="25" t="s">
        <v>28</v>
      </c>
      <c r="D15" s="20">
        <v>425</v>
      </c>
      <c r="E15" s="20">
        <v>25</v>
      </c>
      <c r="F15" s="23"/>
      <c r="G15" s="23"/>
      <c r="H15" s="19"/>
    </row>
    <row r="16" spans="1:8" ht="15.75">
      <c r="A16" s="19">
        <v>14</v>
      </c>
      <c r="B16" s="20" t="s">
        <v>136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136</v>
      </c>
      <c r="C17" s="25" t="s">
        <v>30</v>
      </c>
      <c r="D17" s="20">
        <f>230</f>
        <v>230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136</v>
      </c>
      <c r="C18" s="25" t="s">
        <v>31</v>
      </c>
      <c r="D18" s="20">
        <v>530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136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136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136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136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136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136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136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136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136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136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136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136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A31" s="20"/>
      <c r="B31" s="20"/>
      <c r="C31" s="20"/>
      <c r="D31" s="30">
        <f>SUM(D3:D30)</f>
        <v>9944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7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1ACE-A4B7-4302-80AA-7178D138260A}">
  <sheetPr>
    <pageSetUpPr fitToPage="1"/>
  </sheetPr>
  <dimension ref="A1:H32"/>
  <sheetViews>
    <sheetView workbookViewId="0">
      <selection sqref="A1:H32"/>
    </sheetView>
  </sheetViews>
  <sheetFormatPr defaultRowHeight="15"/>
  <cols>
    <col min="2" max="2" width="16.570312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3.28515625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199</v>
      </c>
      <c r="C3" s="21" t="s">
        <v>14</v>
      </c>
      <c r="D3" s="20">
        <v>0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199</v>
      </c>
      <c r="C4" s="21" t="s">
        <v>15</v>
      </c>
      <c r="D4" s="20"/>
      <c r="E4" s="20">
        <v>0</v>
      </c>
      <c r="F4" s="23"/>
      <c r="G4" s="23"/>
      <c r="H4" s="19"/>
    </row>
    <row r="5" spans="1:8" ht="15.75">
      <c r="A5" s="19">
        <v>3</v>
      </c>
      <c r="B5" s="20" t="s">
        <v>199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199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199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199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199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199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199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199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199</v>
      </c>
      <c r="C13" s="24" t="s">
        <v>26</v>
      </c>
      <c r="D13" s="20">
        <v>0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199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199</v>
      </c>
      <c r="C15" s="25" t="s">
        <v>28</v>
      </c>
      <c r="D15" s="20">
        <v>190</v>
      </c>
      <c r="E15" s="20">
        <v>10</v>
      </c>
      <c r="F15" s="23"/>
      <c r="G15" s="23"/>
      <c r="H15" s="19"/>
    </row>
    <row r="16" spans="1:8" ht="15.75">
      <c r="A16" s="19">
        <v>14</v>
      </c>
      <c r="B16" s="20" t="s">
        <v>199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199</v>
      </c>
      <c r="C17" s="25" t="s">
        <v>30</v>
      </c>
      <c r="D17" s="20">
        <v>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199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199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199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199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199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199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199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199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199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199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199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199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199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A31" s="20"/>
      <c r="B31" s="20"/>
      <c r="C31" s="20"/>
      <c r="D31" s="30">
        <f>SUM(D3:D30)</f>
        <v>190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7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128B-FF15-45CF-9864-30DE29743F76}">
  <sheetPr>
    <pageSetUpPr fitToPage="1"/>
  </sheetPr>
  <dimension ref="A1:H32"/>
  <sheetViews>
    <sheetView workbookViewId="0">
      <selection activeCell="D16" sqref="D16"/>
    </sheetView>
  </sheetViews>
  <sheetFormatPr defaultRowHeight="15"/>
  <cols>
    <col min="2" max="2" width="16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203</v>
      </c>
      <c r="C3" s="21" t="s">
        <v>14</v>
      </c>
      <c r="D3" s="20">
        <v>0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203</v>
      </c>
      <c r="C4" s="21" t="s">
        <v>15</v>
      </c>
      <c r="D4" s="20"/>
      <c r="E4" s="20">
        <v>0</v>
      </c>
      <c r="F4" s="23"/>
      <c r="G4" s="23"/>
      <c r="H4" s="19"/>
    </row>
    <row r="5" spans="1:8" ht="15.75">
      <c r="A5" s="19">
        <v>3</v>
      </c>
      <c r="B5" s="20" t="s">
        <v>203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203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203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203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203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203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203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203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203</v>
      </c>
      <c r="C13" s="24" t="s">
        <v>26</v>
      </c>
      <c r="D13" s="20">
        <v>0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203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203</v>
      </c>
      <c r="C15" s="25" t="s">
        <v>28</v>
      </c>
      <c r="D15" s="20">
        <v>255</v>
      </c>
      <c r="E15" s="20">
        <v>15</v>
      </c>
      <c r="F15" s="23"/>
      <c r="G15" s="23"/>
      <c r="H15" s="19"/>
    </row>
    <row r="16" spans="1:8" ht="15.75">
      <c r="A16" s="19">
        <v>14</v>
      </c>
      <c r="B16" s="20" t="s">
        <v>203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203</v>
      </c>
      <c r="C17" s="25" t="s">
        <v>30</v>
      </c>
      <c r="D17" s="20">
        <v>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203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203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203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203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203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203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203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203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203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203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203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203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203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A31" s="20"/>
      <c r="B31" s="20"/>
      <c r="C31" s="20"/>
      <c r="D31" s="30">
        <f>SUM(D3:D30)</f>
        <v>255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AF0F-5925-4C67-AFD6-9BEFF3958207}">
  <sheetPr>
    <pageSetUpPr fitToPage="1"/>
  </sheetPr>
  <dimension ref="A1:H32"/>
  <sheetViews>
    <sheetView workbookViewId="0">
      <selection activeCell="E26" sqref="E26"/>
    </sheetView>
  </sheetViews>
  <sheetFormatPr defaultRowHeight="15"/>
  <cols>
    <col min="1" max="1" width="3" bestFit="1" customWidth="1"/>
    <col min="2" max="2" width="14.14062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3.28515625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184</v>
      </c>
      <c r="C3" s="21" t="s">
        <v>14</v>
      </c>
      <c r="D3" s="20">
        <f>2100+763</f>
        <v>2863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184</v>
      </c>
      <c r="C4" s="21" t="s">
        <v>15</v>
      </c>
      <c r="D4" s="20">
        <f>1235</f>
        <v>1235</v>
      </c>
      <c r="E4" s="20">
        <v>65</v>
      </c>
      <c r="F4" s="23"/>
      <c r="G4" s="23"/>
      <c r="H4" s="19"/>
    </row>
    <row r="5" spans="1:8" ht="15.75">
      <c r="A5" s="19">
        <v>3</v>
      </c>
      <c r="B5" s="20" t="s">
        <v>184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184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184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184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184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184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184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184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184</v>
      </c>
      <c r="C13" s="24" t="s">
        <v>26</v>
      </c>
      <c r="D13" s="20">
        <f>270+84</f>
        <v>354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184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184</v>
      </c>
      <c r="C15" s="25" t="s">
        <v>28</v>
      </c>
      <c r="D15" s="20">
        <v>1802</v>
      </c>
      <c r="E15" s="20">
        <v>0</v>
      </c>
      <c r="F15" s="23"/>
      <c r="G15" s="23"/>
      <c r="H15" s="19"/>
    </row>
    <row r="16" spans="1:8" ht="15.75">
      <c r="A16" s="19">
        <v>14</v>
      </c>
      <c r="B16" s="20" t="s">
        <v>184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184</v>
      </c>
      <c r="C17" s="25" t="s">
        <v>30</v>
      </c>
      <c r="D17" s="20">
        <v>150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184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184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184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184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184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184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184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184</v>
      </c>
      <c r="C25" s="21" t="s">
        <v>38</v>
      </c>
      <c r="D25" s="20">
        <v>60</v>
      </c>
      <c r="E25" s="20">
        <v>40</v>
      </c>
      <c r="F25" s="23"/>
      <c r="G25" s="23"/>
      <c r="H25" s="19"/>
    </row>
    <row r="26" spans="1:8" ht="15.75">
      <c r="A26" s="19">
        <v>24</v>
      </c>
      <c r="B26" s="20" t="s">
        <v>184</v>
      </c>
      <c r="C26" s="21" t="s">
        <v>39</v>
      </c>
      <c r="D26" s="20">
        <v>84</v>
      </c>
      <c r="E26" s="20">
        <v>60</v>
      </c>
      <c r="F26" s="23"/>
      <c r="G26" s="23"/>
      <c r="H26" s="19"/>
    </row>
    <row r="27" spans="1:8" ht="15.75">
      <c r="A27" s="19">
        <v>25</v>
      </c>
      <c r="B27" s="20" t="s">
        <v>184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184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184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184</v>
      </c>
      <c r="C30" s="21" t="s">
        <v>43</v>
      </c>
      <c r="D30" s="20">
        <v>0</v>
      </c>
      <c r="E30" s="20">
        <v>50</v>
      </c>
      <c r="F30" s="29"/>
      <c r="G30" s="29"/>
      <c r="H30" s="28"/>
    </row>
    <row r="31" spans="1:8">
      <c r="A31" s="20"/>
      <c r="B31" s="20"/>
      <c r="C31" s="20"/>
      <c r="D31" s="30">
        <f>SUM(D3:D30)</f>
        <v>6548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8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4408-E8B8-45AA-9B90-1539566F3855}">
  <sheetPr>
    <pageSetUpPr fitToPage="1"/>
  </sheetPr>
  <dimension ref="A1:H32"/>
  <sheetViews>
    <sheetView workbookViewId="0">
      <selection activeCell="D32" sqref="D32"/>
    </sheetView>
  </sheetViews>
  <sheetFormatPr defaultRowHeight="15"/>
  <cols>
    <col min="2" max="2" width="18.8554687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204</v>
      </c>
      <c r="C3" s="21" t="s">
        <v>14</v>
      </c>
      <c r="D3" s="20">
        <v>0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204</v>
      </c>
      <c r="C4" s="21" t="s">
        <v>15</v>
      </c>
      <c r="D4" s="20">
        <v>0</v>
      </c>
      <c r="E4" s="20">
        <v>0</v>
      </c>
      <c r="F4" s="23"/>
      <c r="G4" s="23"/>
      <c r="H4" s="19"/>
    </row>
    <row r="5" spans="1:8" ht="15.75">
      <c r="A5" s="19">
        <v>3</v>
      </c>
      <c r="B5" s="20" t="s">
        <v>204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204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204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204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204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204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204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204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204</v>
      </c>
      <c r="C13" s="24" t="s">
        <v>26</v>
      </c>
      <c r="D13" s="20">
        <v>0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204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204</v>
      </c>
      <c r="C15" s="25" t="s">
        <v>28</v>
      </c>
      <c r="D15" s="20">
        <v>544</v>
      </c>
      <c r="E15" s="20">
        <v>32</v>
      </c>
      <c r="F15" s="23"/>
      <c r="G15" s="23"/>
      <c r="H15" s="19"/>
    </row>
    <row r="16" spans="1:8" ht="15.75">
      <c r="A16" s="19">
        <v>14</v>
      </c>
      <c r="B16" s="20" t="s">
        <v>204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204</v>
      </c>
      <c r="C17" s="25" t="s">
        <v>30</v>
      </c>
      <c r="D17" s="20">
        <v>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204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204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204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204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204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204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204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204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204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204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204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204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204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A31" s="20"/>
      <c r="B31" s="20"/>
      <c r="C31" s="20"/>
      <c r="D31" s="269">
        <f>SUM(D3:D30)</f>
        <v>544</v>
      </c>
      <c r="E31" s="20"/>
      <c r="F31" s="22">
        <f>SUM(F3:F30)</f>
        <v>0</v>
      </c>
      <c r="G31" s="22">
        <f>SUM(G3:G30)</f>
        <v>0</v>
      </c>
      <c r="H31" s="20"/>
    </row>
    <row r="32" spans="1:8">
      <c r="A32" s="28"/>
      <c r="B32" s="28"/>
      <c r="C32" s="28"/>
      <c r="D32" s="28"/>
      <c r="E32" s="28"/>
      <c r="F32" s="28"/>
      <c r="G32" s="20" t="s">
        <v>44</v>
      </c>
      <c r="H32" s="20"/>
    </row>
  </sheetData>
  <mergeCells count="1">
    <mergeCell ref="A1:H1"/>
  </mergeCells>
  <pageMargins left="0.7" right="0.7" top="0.75" bottom="0.75" header="0.3" footer="0.3"/>
  <pageSetup scale="7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904C-DC91-4399-8A94-6DE348D12610}">
  <sheetPr>
    <pageSetUpPr fitToPage="1"/>
  </sheetPr>
  <dimension ref="A1:H32"/>
  <sheetViews>
    <sheetView workbookViewId="0">
      <selection activeCell="H33" sqref="H33"/>
    </sheetView>
  </sheetViews>
  <sheetFormatPr defaultRowHeight="15"/>
  <cols>
    <col min="1" max="1" width="3" bestFit="1" customWidth="1"/>
    <col min="2" max="2" width="14.14062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120</v>
      </c>
      <c r="C3" s="21" t="s">
        <v>14</v>
      </c>
      <c r="D3" s="20">
        <v>0</v>
      </c>
      <c r="E3" s="20">
        <v>0</v>
      </c>
      <c r="F3" s="22"/>
      <c r="G3" s="20">
        <v>0</v>
      </c>
      <c r="H3" s="20"/>
    </row>
    <row r="4" spans="1:8" ht="15.75">
      <c r="A4" s="19">
        <v>2</v>
      </c>
      <c r="B4" s="20" t="s">
        <v>120</v>
      </c>
      <c r="C4" s="21" t="s">
        <v>15</v>
      </c>
      <c r="D4" s="20">
        <v>0</v>
      </c>
      <c r="E4" s="20">
        <v>0</v>
      </c>
      <c r="F4" s="23"/>
      <c r="G4" s="20">
        <v>0</v>
      </c>
      <c r="H4" s="19"/>
    </row>
    <row r="5" spans="1:8" ht="15.75">
      <c r="A5" s="19">
        <v>3</v>
      </c>
      <c r="B5" s="20" t="s">
        <v>120</v>
      </c>
      <c r="C5" s="21" t="s">
        <v>16</v>
      </c>
      <c r="D5" s="20">
        <v>0</v>
      </c>
      <c r="E5" s="20">
        <v>0</v>
      </c>
      <c r="F5" s="23"/>
      <c r="G5" s="20">
        <v>0</v>
      </c>
      <c r="H5" s="19"/>
    </row>
    <row r="6" spans="1:8" ht="15.75">
      <c r="A6" s="19">
        <v>4</v>
      </c>
      <c r="B6" s="20" t="s">
        <v>120</v>
      </c>
      <c r="C6" s="21" t="s">
        <v>17</v>
      </c>
      <c r="D6" s="20">
        <v>0</v>
      </c>
      <c r="E6" s="20">
        <v>0</v>
      </c>
      <c r="F6" s="23"/>
      <c r="G6" s="20">
        <v>0</v>
      </c>
      <c r="H6" s="19"/>
    </row>
    <row r="7" spans="1:8" ht="15.75">
      <c r="A7" s="19">
        <v>5</v>
      </c>
      <c r="B7" s="20" t="s">
        <v>120</v>
      </c>
      <c r="C7" s="21" t="s">
        <v>18</v>
      </c>
      <c r="D7" s="20">
        <v>0</v>
      </c>
      <c r="E7" s="20">
        <v>0</v>
      </c>
      <c r="F7" s="23"/>
      <c r="G7" s="20">
        <v>0</v>
      </c>
      <c r="H7" s="19"/>
    </row>
    <row r="8" spans="1:8" ht="15.75">
      <c r="A8" s="19">
        <v>6</v>
      </c>
      <c r="B8" s="20" t="s">
        <v>120</v>
      </c>
      <c r="C8" s="21" t="s">
        <v>19</v>
      </c>
      <c r="D8" s="20">
        <v>0</v>
      </c>
      <c r="E8" s="20">
        <v>0</v>
      </c>
      <c r="F8" s="23"/>
      <c r="G8" s="20">
        <v>0</v>
      </c>
      <c r="H8" s="19"/>
    </row>
    <row r="9" spans="1:8" ht="15.75">
      <c r="A9" s="19">
        <v>7</v>
      </c>
      <c r="B9" s="20" t="s">
        <v>120</v>
      </c>
      <c r="C9" s="24" t="s">
        <v>20</v>
      </c>
      <c r="D9" s="20">
        <v>0</v>
      </c>
      <c r="E9" s="20">
        <v>0</v>
      </c>
      <c r="F9" s="23"/>
      <c r="G9" s="20">
        <v>0</v>
      </c>
      <c r="H9" s="19"/>
    </row>
    <row r="10" spans="1:8" ht="15.75">
      <c r="A10" s="19">
        <v>8</v>
      </c>
      <c r="B10" s="20" t="s">
        <v>120</v>
      </c>
      <c r="C10" s="24" t="s">
        <v>22</v>
      </c>
      <c r="D10" s="20">
        <v>2000</v>
      </c>
      <c r="E10" s="20">
        <v>400</v>
      </c>
      <c r="F10" s="23"/>
      <c r="G10" s="20">
        <v>2000</v>
      </c>
      <c r="H10" s="19"/>
    </row>
    <row r="11" spans="1:8" ht="15.75">
      <c r="A11" s="19">
        <v>9</v>
      </c>
      <c r="B11" s="20" t="s">
        <v>120</v>
      </c>
      <c r="C11" s="24" t="s">
        <v>23</v>
      </c>
      <c r="D11" s="20">
        <v>0</v>
      </c>
      <c r="E11" s="20">
        <v>0</v>
      </c>
      <c r="F11" s="23"/>
      <c r="G11" s="20">
        <v>0</v>
      </c>
      <c r="H11" s="33"/>
    </row>
    <row r="12" spans="1:8" ht="15.75">
      <c r="A12" s="19">
        <v>10</v>
      </c>
      <c r="B12" s="20" t="s">
        <v>120</v>
      </c>
      <c r="C12" s="24" t="s">
        <v>25</v>
      </c>
      <c r="D12" s="20">
        <v>0</v>
      </c>
      <c r="E12" s="20">
        <v>0</v>
      </c>
      <c r="F12" s="23"/>
      <c r="G12" s="20">
        <v>0</v>
      </c>
      <c r="H12" s="19"/>
    </row>
    <row r="13" spans="1:8" ht="15.75">
      <c r="A13" s="19">
        <v>11</v>
      </c>
      <c r="B13" s="20" t="s">
        <v>120</v>
      </c>
      <c r="C13" s="24" t="s">
        <v>26</v>
      </c>
      <c r="D13" s="20">
        <v>0</v>
      </c>
      <c r="E13" s="20">
        <v>0</v>
      </c>
      <c r="F13" s="23"/>
      <c r="G13" s="20">
        <v>0</v>
      </c>
      <c r="H13" s="19"/>
    </row>
    <row r="14" spans="1:8" ht="15.75">
      <c r="A14" s="19">
        <v>12</v>
      </c>
      <c r="B14" s="20" t="s">
        <v>120</v>
      </c>
      <c r="C14" s="21" t="s">
        <v>27</v>
      </c>
      <c r="D14" s="20">
        <v>0</v>
      </c>
      <c r="E14" s="20">
        <v>0</v>
      </c>
      <c r="F14" s="23"/>
      <c r="G14" s="20">
        <v>0</v>
      </c>
      <c r="H14" s="19"/>
    </row>
    <row r="15" spans="1:8" ht="15.75">
      <c r="A15" s="19">
        <v>13</v>
      </c>
      <c r="B15" s="20" t="s">
        <v>120</v>
      </c>
      <c r="C15" s="25" t="s">
        <v>28</v>
      </c>
      <c r="D15" s="20">
        <v>0</v>
      </c>
      <c r="E15" s="20">
        <v>0</v>
      </c>
      <c r="F15" s="23"/>
      <c r="G15" s="20">
        <v>0</v>
      </c>
      <c r="H15" s="19"/>
    </row>
    <row r="16" spans="1:8" ht="15.75">
      <c r="A16" s="19">
        <v>14</v>
      </c>
      <c r="B16" s="20" t="s">
        <v>120</v>
      </c>
      <c r="C16" s="25" t="s">
        <v>29</v>
      </c>
      <c r="D16" s="20">
        <v>0</v>
      </c>
      <c r="E16" s="20">
        <v>0</v>
      </c>
      <c r="F16" s="23"/>
      <c r="G16" s="20">
        <v>0</v>
      </c>
      <c r="H16" s="19"/>
    </row>
    <row r="17" spans="1:8" ht="15.75">
      <c r="A17" s="19">
        <v>15</v>
      </c>
      <c r="B17" s="20" t="s">
        <v>120</v>
      </c>
      <c r="C17" s="25" t="s">
        <v>30</v>
      </c>
      <c r="D17" s="20">
        <v>0</v>
      </c>
      <c r="E17" s="20">
        <v>0</v>
      </c>
      <c r="F17" s="23"/>
      <c r="G17" s="20">
        <v>0</v>
      </c>
      <c r="H17" s="19"/>
    </row>
    <row r="18" spans="1:8" ht="15.75">
      <c r="A18" s="19">
        <v>16</v>
      </c>
      <c r="B18" s="20" t="s">
        <v>120</v>
      </c>
      <c r="C18" s="25" t="s">
        <v>31</v>
      </c>
      <c r="D18" s="20">
        <v>5364</v>
      </c>
      <c r="E18" s="20">
        <v>241</v>
      </c>
      <c r="F18" s="23"/>
      <c r="G18" s="20">
        <v>5364</v>
      </c>
      <c r="H18" s="19"/>
    </row>
    <row r="19" spans="1:8" ht="15.75">
      <c r="A19" s="19">
        <v>17</v>
      </c>
      <c r="B19" s="20" t="s">
        <v>120</v>
      </c>
      <c r="C19" s="25" t="s">
        <v>32</v>
      </c>
      <c r="D19" s="20">
        <v>0</v>
      </c>
      <c r="E19" s="20">
        <v>0</v>
      </c>
      <c r="F19" s="23"/>
      <c r="G19" s="20">
        <v>0</v>
      </c>
      <c r="H19" s="19"/>
    </row>
    <row r="20" spans="1:8" ht="15.75">
      <c r="A20" s="19">
        <v>18</v>
      </c>
      <c r="B20" s="20" t="s">
        <v>120</v>
      </c>
      <c r="C20" s="25" t="s">
        <v>33</v>
      </c>
      <c r="D20" s="20">
        <v>0</v>
      </c>
      <c r="E20" s="20">
        <v>0</v>
      </c>
      <c r="F20" s="23"/>
      <c r="G20" s="20">
        <v>0</v>
      </c>
      <c r="H20" s="19"/>
    </row>
    <row r="21" spans="1:8" ht="15.75">
      <c r="A21" s="19">
        <v>19</v>
      </c>
      <c r="B21" s="20" t="s">
        <v>120</v>
      </c>
      <c r="C21" s="25" t="s">
        <v>34</v>
      </c>
      <c r="D21" s="20">
        <v>0</v>
      </c>
      <c r="E21" s="20">
        <v>0</v>
      </c>
      <c r="F21" s="23"/>
      <c r="G21" s="20">
        <v>0</v>
      </c>
      <c r="H21" s="19"/>
    </row>
    <row r="22" spans="1:8" ht="15.75">
      <c r="A22" s="19">
        <v>20</v>
      </c>
      <c r="B22" s="20" t="s">
        <v>120</v>
      </c>
      <c r="C22" s="25" t="s">
        <v>35</v>
      </c>
      <c r="D22" s="20">
        <v>0</v>
      </c>
      <c r="E22" s="20">
        <v>0</v>
      </c>
      <c r="F22" s="23"/>
      <c r="G22" s="20">
        <v>0</v>
      </c>
      <c r="H22" s="19"/>
    </row>
    <row r="23" spans="1:8" ht="15.75">
      <c r="A23" s="19">
        <v>21</v>
      </c>
      <c r="B23" s="20" t="s">
        <v>120</v>
      </c>
      <c r="C23" s="25" t="s">
        <v>36</v>
      </c>
      <c r="D23" s="20">
        <v>0</v>
      </c>
      <c r="E23" s="20">
        <v>0</v>
      </c>
      <c r="F23" s="23"/>
      <c r="G23" s="20">
        <v>0</v>
      </c>
      <c r="H23" s="19"/>
    </row>
    <row r="24" spans="1:8" ht="15.75">
      <c r="A24" s="19">
        <v>22</v>
      </c>
      <c r="B24" s="20" t="s">
        <v>120</v>
      </c>
      <c r="C24" s="25" t="s">
        <v>37</v>
      </c>
      <c r="D24" s="20">
        <v>0</v>
      </c>
      <c r="E24" s="20">
        <v>0</v>
      </c>
      <c r="F24" s="23"/>
      <c r="G24" s="20">
        <v>0</v>
      </c>
      <c r="H24" s="19"/>
    </row>
    <row r="25" spans="1:8" ht="15.75">
      <c r="A25" s="19">
        <v>23</v>
      </c>
      <c r="B25" s="20" t="s">
        <v>120</v>
      </c>
      <c r="C25" s="21" t="s">
        <v>38</v>
      </c>
      <c r="D25" s="20">
        <v>0</v>
      </c>
      <c r="E25" s="20">
        <v>0</v>
      </c>
      <c r="F25" s="23"/>
      <c r="G25" s="20">
        <v>0</v>
      </c>
      <c r="H25" s="19"/>
    </row>
    <row r="26" spans="1:8" ht="15.75">
      <c r="A26" s="19">
        <v>24</v>
      </c>
      <c r="B26" s="20" t="s">
        <v>120</v>
      </c>
      <c r="C26" s="21" t="s">
        <v>39</v>
      </c>
      <c r="D26" s="20">
        <v>0</v>
      </c>
      <c r="E26" s="20">
        <v>0</v>
      </c>
      <c r="F26" s="23"/>
      <c r="G26" s="20">
        <v>0</v>
      </c>
      <c r="H26" s="19"/>
    </row>
    <row r="27" spans="1:8" ht="15.75">
      <c r="A27" s="19">
        <v>25</v>
      </c>
      <c r="B27" s="20" t="s">
        <v>120</v>
      </c>
      <c r="C27" s="21" t="s">
        <v>40</v>
      </c>
      <c r="D27" s="20">
        <v>0</v>
      </c>
      <c r="E27" s="20">
        <v>0</v>
      </c>
      <c r="F27" s="23"/>
      <c r="G27" s="20">
        <v>0</v>
      </c>
      <c r="H27" s="19"/>
    </row>
    <row r="28" spans="1:8" ht="15.75">
      <c r="A28" s="19">
        <v>26</v>
      </c>
      <c r="B28" s="20" t="s">
        <v>120</v>
      </c>
      <c r="C28" s="21" t="s">
        <v>41</v>
      </c>
      <c r="D28" s="20">
        <v>0</v>
      </c>
      <c r="E28" s="20">
        <v>0</v>
      </c>
      <c r="F28" s="29"/>
      <c r="G28" s="20">
        <v>0</v>
      </c>
      <c r="H28" s="28"/>
    </row>
    <row r="29" spans="1:8" ht="15.75">
      <c r="A29" s="19">
        <v>27</v>
      </c>
      <c r="B29" s="20" t="s">
        <v>120</v>
      </c>
      <c r="C29" s="21" t="s">
        <v>42</v>
      </c>
      <c r="D29" s="20">
        <v>0</v>
      </c>
      <c r="E29" s="20">
        <v>0</v>
      </c>
      <c r="F29" s="29"/>
      <c r="G29" s="20">
        <v>0</v>
      </c>
      <c r="H29" s="28"/>
    </row>
    <row r="30" spans="1:8" ht="15.75">
      <c r="A30" s="19">
        <v>31</v>
      </c>
      <c r="B30" s="20" t="s">
        <v>120</v>
      </c>
      <c r="C30" s="21" t="s">
        <v>43</v>
      </c>
      <c r="D30" s="20">
        <v>0</v>
      </c>
      <c r="E30" s="20">
        <v>0</v>
      </c>
      <c r="F30" s="29"/>
      <c r="G30" s="20">
        <v>0</v>
      </c>
      <c r="H30" s="28"/>
    </row>
    <row r="31" spans="1:8">
      <c r="D31" s="45">
        <f>SUM(D3:D30)</f>
        <v>7364</v>
      </c>
      <c r="E31" s="45">
        <f>SUM(E3:E30)</f>
        <v>641</v>
      </c>
      <c r="G31" s="45">
        <f>SUM(G3:G30)</f>
        <v>7364</v>
      </c>
    </row>
    <row r="32" spans="1:8">
      <c r="H32" t="s">
        <v>246</v>
      </c>
    </row>
  </sheetData>
  <mergeCells count="1">
    <mergeCell ref="A1:H1"/>
  </mergeCells>
  <pageMargins left="0.7" right="0.7" top="0.75" bottom="0.75" header="0.3" footer="0.3"/>
  <pageSetup scale="8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E625-875D-4EEB-9D43-8A033D697ACE}">
  <sheetPr>
    <pageSetUpPr fitToPage="1"/>
  </sheetPr>
  <dimension ref="A1:H31"/>
  <sheetViews>
    <sheetView workbookViewId="0">
      <selection activeCell="K19" sqref="K19"/>
    </sheetView>
  </sheetViews>
  <sheetFormatPr defaultRowHeight="15"/>
  <cols>
    <col min="2" max="2" width="15.570312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117</v>
      </c>
      <c r="C3" s="21" t="s">
        <v>14</v>
      </c>
      <c r="D3" s="20">
        <v>0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117</v>
      </c>
      <c r="C4" s="21" t="s">
        <v>15</v>
      </c>
      <c r="D4" s="20">
        <v>0</v>
      </c>
      <c r="E4" s="20">
        <v>0</v>
      </c>
      <c r="F4" s="23"/>
      <c r="G4" s="23"/>
      <c r="H4" s="19"/>
    </row>
    <row r="5" spans="1:8" ht="15.75">
      <c r="A5" s="19">
        <v>3</v>
      </c>
      <c r="B5" s="20" t="s">
        <v>117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117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117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117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117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117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117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117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117</v>
      </c>
      <c r="C13" s="24" t="s">
        <v>26</v>
      </c>
      <c r="D13" s="20">
        <v>0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117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117</v>
      </c>
      <c r="C15" s="25" t="s">
        <v>28</v>
      </c>
      <c r="D15" s="20">
        <v>170</v>
      </c>
      <c r="E15" s="20">
        <v>10</v>
      </c>
      <c r="F15" s="23"/>
      <c r="G15" s="23"/>
      <c r="H15" s="19"/>
    </row>
    <row r="16" spans="1:8" ht="15.75">
      <c r="A16" s="19">
        <v>14</v>
      </c>
      <c r="B16" s="20" t="s">
        <v>117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117</v>
      </c>
      <c r="C17" s="25" t="s">
        <v>30</v>
      </c>
      <c r="D17" s="20">
        <v>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117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117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117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117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117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117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117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117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117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117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117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117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117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D31" s="45">
        <f>SUM(D3:D30)</f>
        <v>170</v>
      </c>
      <c r="E31" s="45">
        <f>SUM(E3:E30)</f>
        <v>10</v>
      </c>
    </row>
  </sheetData>
  <mergeCells count="1">
    <mergeCell ref="A1:H1"/>
  </mergeCells>
  <pageMargins left="0.7" right="0.7" top="0.75" bottom="0.75" header="0.3" footer="0.3"/>
  <pageSetup scale="8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7B58-DFA2-4A31-8298-196398D16FA0}">
  <sheetPr>
    <pageSetUpPr fitToPage="1"/>
  </sheetPr>
  <dimension ref="A1:H31"/>
  <sheetViews>
    <sheetView workbookViewId="0">
      <selection activeCell="K30" sqref="K30"/>
    </sheetView>
  </sheetViews>
  <sheetFormatPr defaultRowHeight="15"/>
  <cols>
    <col min="2" max="2" width="20.5703125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198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178</v>
      </c>
      <c r="C3" s="21" t="s">
        <v>14</v>
      </c>
      <c r="D3" s="20">
        <v>228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178</v>
      </c>
      <c r="C4" s="21" t="s">
        <v>15</v>
      </c>
      <c r="D4" s="20">
        <v>0</v>
      </c>
      <c r="E4" s="20">
        <v>0</v>
      </c>
      <c r="F4" s="23"/>
      <c r="G4" s="23"/>
      <c r="H4" s="19"/>
    </row>
    <row r="5" spans="1:8" ht="15.75">
      <c r="A5" s="19">
        <v>3</v>
      </c>
      <c r="B5" s="20" t="s">
        <v>178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178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178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178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178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178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178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178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178</v>
      </c>
      <c r="C13" s="24" t="s">
        <v>26</v>
      </c>
      <c r="D13" s="20">
        <v>0</v>
      </c>
      <c r="E13" s="20">
        <v>0</v>
      </c>
      <c r="F13" s="23"/>
      <c r="G13" s="23"/>
      <c r="H13" s="19"/>
    </row>
    <row r="14" spans="1:8" ht="15.75">
      <c r="A14" s="19">
        <v>12</v>
      </c>
      <c r="B14" s="20" t="s">
        <v>178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178</v>
      </c>
      <c r="C15" s="25" t="s">
        <v>28</v>
      </c>
      <c r="D15" s="20">
        <v>782</v>
      </c>
      <c r="E15" s="20">
        <v>0</v>
      </c>
      <c r="F15" s="23"/>
      <c r="G15" s="23"/>
      <c r="H15" s="19"/>
    </row>
    <row r="16" spans="1:8" ht="15.75">
      <c r="A16" s="19">
        <v>14</v>
      </c>
      <c r="B16" s="20" t="s">
        <v>178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178</v>
      </c>
      <c r="C17" s="25" t="s">
        <v>30</v>
      </c>
      <c r="D17" s="20">
        <v>0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178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178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178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178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178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178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178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178</v>
      </c>
      <c r="C25" s="21" t="s">
        <v>38</v>
      </c>
      <c r="D25" s="20">
        <v>18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178</v>
      </c>
      <c r="C26" s="21" t="s">
        <v>39</v>
      </c>
      <c r="D26" s="20">
        <v>0</v>
      </c>
      <c r="E26" s="20">
        <v>0</v>
      </c>
      <c r="F26" s="23"/>
      <c r="G26" s="23"/>
      <c r="H26" s="19"/>
    </row>
    <row r="27" spans="1:8" ht="15.75">
      <c r="A27" s="19">
        <v>25</v>
      </c>
      <c r="B27" s="20" t="s">
        <v>178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178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178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178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D31" s="45">
        <f>SUM(D3:D30)</f>
        <v>1028</v>
      </c>
      <c r="E31" s="45">
        <f>SUM(E3:E30)</f>
        <v>0</v>
      </c>
    </row>
  </sheetData>
  <mergeCells count="1">
    <mergeCell ref="A1:H1"/>
  </mergeCells>
  <pageMargins left="0.7" right="0.7" top="0.75" bottom="0.75" header="0.3" footer="0.3"/>
  <pageSetup scale="7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8A8B-2296-41A8-AC9D-DD9747219929}">
  <sheetPr>
    <pageSetUpPr fitToPage="1"/>
  </sheetPr>
  <dimension ref="A1:H31"/>
  <sheetViews>
    <sheetView workbookViewId="0">
      <selection activeCell="L35" sqref="L35"/>
    </sheetView>
  </sheetViews>
  <sheetFormatPr defaultRowHeight="15"/>
  <cols>
    <col min="2" max="2" width="16.7109375" bestFit="1" customWidth="1"/>
    <col min="3" max="3" width="26" bestFit="1" customWidth="1"/>
    <col min="4" max="4" width="13.42578125" bestFit="1" customWidth="1"/>
    <col min="5" max="5" width="12.7109375" bestFit="1" customWidth="1"/>
    <col min="6" max="6" width="11" bestFit="1" customWidth="1"/>
    <col min="7" max="7" width="12.7109375" bestFit="1" customWidth="1"/>
    <col min="8" max="8" width="10.85546875" bestFit="1" customWidth="1"/>
  </cols>
  <sheetData>
    <row r="1" spans="1:8" ht="21">
      <c r="A1" s="288" t="s">
        <v>200</v>
      </c>
      <c r="B1" s="288"/>
      <c r="C1" s="288"/>
      <c r="D1" s="288"/>
      <c r="E1" s="288"/>
      <c r="F1" s="288"/>
      <c r="G1" s="288"/>
      <c r="H1" s="288"/>
    </row>
    <row r="2" spans="1:8" ht="15.75">
      <c r="A2" s="17" t="s">
        <v>1</v>
      </c>
      <c r="B2" s="17" t="s">
        <v>2</v>
      </c>
      <c r="C2" s="17" t="s">
        <v>3</v>
      </c>
      <c r="D2" s="17" t="s">
        <v>4</v>
      </c>
      <c r="E2" s="17" t="s">
        <v>109</v>
      </c>
      <c r="F2" s="18" t="s">
        <v>125</v>
      </c>
      <c r="G2" s="18" t="s">
        <v>8</v>
      </c>
      <c r="H2" s="17" t="s">
        <v>9</v>
      </c>
    </row>
    <row r="3" spans="1:8" ht="15.75">
      <c r="A3" s="19">
        <v>1</v>
      </c>
      <c r="B3" s="20" t="s">
        <v>138</v>
      </c>
      <c r="C3" s="21" t="s">
        <v>14</v>
      </c>
      <c r="D3" s="20">
        <v>3650</v>
      </c>
      <c r="E3" s="20">
        <v>0</v>
      </c>
      <c r="F3" s="22"/>
      <c r="G3" s="22"/>
      <c r="H3" s="20"/>
    </row>
    <row r="4" spans="1:8" ht="15.75">
      <c r="A4" s="19">
        <v>2</v>
      </c>
      <c r="B4" s="20" t="s">
        <v>138</v>
      </c>
      <c r="C4" s="21" t="s">
        <v>15</v>
      </c>
      <c r="D4" s="20">
        <v>1330</v>
      </c>
      <c r="E4" s="20">
        <v>0</v>
      </c>
      <c r="F4" s="23"/>
      <c r="G4" s="23"/>
      <c r="H4" s="19"/>
    </row>
    <row r="5" spans="1:8" ht="15.75">
      <c r="A5" s="19">
        <v>3</v>
      </c>
      <c r="B5" s="20" t="s">
        <v>138</v>
      </c>
      <c r="C5" s="21" t="s">
        <v>16</v>
      </c>
      <c r="D5" s="20">
        <v>0</v>
      </c>
      <c r="E5" s="20">
        <v>0</v>
      </c>
      <c r="F5" s="23"/>
      <c r="G5" s="23"/>
      <c r="H5" s="19"/>
    </row>
    <row r="6" spans="1:8" ht="15.75">
      <c r="A6" s="19">
        <v>4</v>
      </c>
      <c r="B6" s="20" t="s">
        <v>138</v>
      </c>
      <c r="C6" s="21" t="s">
        <v>17</v>
      </c>
      <c r="D6" s="20">
        <v>0</v>
      </c>
      <c r="E6" s="20">
        <v>0</v>
      </c>
      <c r="F6" s="23"/>
      <c r="G6" s="23"/>
      <c r="H6" s="19"/>
    </row>
    <row r="7" spans="1:8" ht="15.75">
      <c r="A7" s="19">
        <v>5</v>
      </c>
      <c r="B7" s="20" t="s">
        <v>138</v>
      </c>
      <c r="C7" s="21" t="s">
        <v>18</v>
      </c>
      <c r="D7" s="20">
        <v>0</v>
      </c>
      <c r="E7" s="20">
        <v>0</v>
      </c>
      <c r="F7" s="23"/>
      <c r="G7" s="23"/>
      <c r="H7" s="19"/>
    </row>
    <row r="8" spans="1:8" ht="15.75">
      <c r="A8" s="19">
        <v>6</v>
      </c>
      <c r="B8" s="20" t="s">
        <v>138</v>
      </c>
      <c r="C8" s="21" t="s">
        <v>19</v>
      </c>
      <c r="D8" s="20">
        <v>0</v>
      </c>
      <c r="E8" s="20">
        <v>0</v>
      </c>
      <c r="F8" s="23"/>
      <c r="G8" s="23"/>
      <c r="H8" s="19"/>
    </row>
    <row r="9" spans="1:8" ht="15.75">
      <c r="A9" s="19">
        <v>7</v>
      </c>
      <c r="B9" s="20" t="s">
        <v>138</v>
      </c>
      <c r="C9" s="24" t="s">
        <v>20</v>
      </c>
      <c r="D9" s="20">
        <v>0</v>
      </c>
      <c r="E9" s="20">
        <v>0</v>
      </c>
      <c r="F9" s="23"/>
      <c r="G9" s="23"/>
      <c r="H9" s="19"/>
    </row>
    <row r="10" spans="1:8" ht="15.75">
      <c r="A10" s="19">
        <v>8</v>
      </c>
      <c r="B10" s="20" t="s">
        <v>138</v>
      </c>
      <c r="C10" s="24" t="s">
        <v>22</v>
      </c>
      <c r="D10" s="20">
        <v>0</v>
      </c>
      <c r="E10" s="20">
        <v>0</v>
      </c>
      <c r="F10" s="23"/>
      <c r="G10" s="23"/>
      <c r="H10" s="19"/>
    </row>
    <row r="11" spans="1:8" ht="15.75">
      <c r="A11" s="19">
        <v>9</v>
      </c>
      <c r="B11" s="20" t="s">
        <v>138</v>
      </c>
      <c r="C11" s="24" t="s">
        <v>23</v>
      </c>
      <c r="D11" s="20">
        <v>0</v>
      </c>
      <c r="E11" s="20">
        <v>0</v>
      </c>
      <c r="F11" s="23"/>
      <c r="G11" s="23"/>
      <c r="H11" s="33"/>
    </row>
    <row r="12" spans="1:8" ht="15.75">
      <c r="A12" s="19">
        <v>10</v>
      </c>
      <c r="B12" s="20" t="s">
        <v>138</v>
      </c>
      <c r="C12" s="24" t="s">
        <v>25</v>
      </c>
      <c r="D12" s="20">
        <v>0</v>
      </c>
      <c r="E12" s="20">
        <v>0</v>
      </c>
      <c r="F12" s="23"/>
      <c r="G12" s="23"/>
      <c r="H12" s="19"/>
    </row>
    <row r="13" spans="1:8" ht="15.75">
      <c r="A13" s="19">
        <v>11</v>
      </c>
      <c r="B13" s="20" t="s">
        <v>138</v>
      </c>
      <c r="C13" s="24" t="s">
        <v>26</v>
      </c>
      <c r="D13" s="20">
        <v>360</v>
      </c>
      <c r="E13" s="20">
        <v>60</v>
      </c>
      <c r="F13" s="23"/>
      <c r="G13" s="23"/>
      <c r="H13" s="19"/>
    </row>
    <row r="14" spans="1:8" ht="15.75">
      <c r="A14" s="19">
        <v>12</v>
      </c>
      <c r="B14" s="20" t="s">
        <v>138</v>
      </c>
      <c r="C14" s="21" t="s">
        <v>27</v>
      </c>
      <c r="D14" s="20">
        <v>0</v>
      </c>
      <c r="E14" s="20">
        <v>0</v>
      </c>
      <c r="F14" s="23"/>
      <c r="G14" s="23"/>
      <c r="H14" s="19"/>
    </row>
    <row r="15" spans="1:8" ht="15.75">
      <c r="A15" s="19">
        <v>13</v>
      </c>
      <c r="B15" s="20" t="s">
        <v>138</v>
      </c>
      <c r="C15" s="25" t="s">
        <v>28</v>
      </c>
      <c r="D15" s="20">
        <v>3740</v>
      </c>
      <c r="E15" s="20">
        <v>220</v>
      </c>
      <c r="F15" s="23"/>
      <c r="G15" s="23"/>
      <c r="H15" s="19"/>
    </row>
    <row r="16" spans="1:8" ht="15.75">
      <c r="A16" s="19">
        <v>14</v>
      </c>
      <c r="B16" s="20" t="s">
        <v>138</v>
      </c>
      <c r="C16" s="25" t="s">
        <v>29</v>
      </c>
      <c r="D16" s="20">
        <v>0</v>
      </c>
      <c r="E16" s="20">
        <v>0</v>
      </c>
      <c r="F16" s="23"/>
      <c r="G16" s="23"/>
      <c r="H16" s="19"/>
    </row>
    <row r="17" spans="1:8" ht="15.75">
      <c r="A17" s="19">
        <v>15</v>
      </c>
      <c r="B17" s="20" t="s">
        <v>138</v>
      </c>
      <c r="C17" s="25" t="s">
        <v>30</v>
      </c>
      <c r="D17" s="20">
        <v>369</v>
      </c>
      <c r="E17" s="20">
        <v>0</v>
      </c>
      <c r="F17" s="23"/>
      <c r="G17" s="23"/>
      <c r="H17" s="19"/>
    </row>
    <row r="18" spans="1:8" ht="15.75">
      <c r="A18" s="19">
        <v>16</v>
      </c>
      <c r="B18" s="20" t="s">
        <v>138</v>
      </c>
      <c r="C18" s="25" t="s">
        <v>31</v>
      </c>
      <c r="D18" s="20">
        <v>0</v>
      </c>
      <c r="E18" s="20">
        <v>0</v>
      </c>
      <c r="F18" s="23"/>
      <c r="G18" s="23"/>
      <c r="H18" s="19"/>
    </row>
    <row r="19" spans="1:8" ht="15.75">
      <c r="A19" s="19">
        <v>17</v>
      </c>
      <c r="B19" s="20" t="s">
        <v>138</v>
      </c>
      <c r="C19" s="25" t="s">
        <v>32</v>
      </c>
      <c r="D19" s="20">
        <v>0</v>
      </c>
      <c r="E19" s="20">
        <v>0</v>
      </c>
      <c r="F19" s="23"/>
      <c r="G19" s="23"/>
      <c r="H19" s="19"/>
    </row>
    <row r="20" spans="1:8" ht="15.75">
      <c r="A20" s="19">
        <v>18</v>
      </c>
      <c r="B20" s="20" t="s">
        <v>138</v>
      </c>
      <c r="C20" s="25" t="s">
        <v>33</v>
      </c>
      <c r="D20" s="20">
        <v>0</v>
      </c>
      <c r="E20" s="20">
        <v>0</v>
      </c>
      <c r="F20" s="23"/>
      <c r="G20" s="23"/>
      <c r="H20" s="19"/>
    </row>
    <row r="21" spans="1:8" ht="15.75">
      <c r="A21" s="19">
        <v>19</v>
      </c>
      <c r="B21" s="20" t="s">
        <v>138</v>
      </c>
      <c r="C21" s="25" t="s">
        <v>34</v>
      </c>
      <c r="D21" s="20">
        <v>0</v>
      </c>
      <c r="E21" s="20">
        <v>0</v>
      </c>
      <c r="F21" s="23"/>
      <c r="G21" s="23"/>
      <c r="H21" s="19"/>
    </row>
    <row r="22" spans="1:8" ht="15.75">
      <c r="A22" s="19">
        <v>20</v>
      </c>
      <c r="B22" s="20" t="s">
        <v>138</v>
      </c>
      <c r="C22" s="25" t="s">
        <v>35</v>
      </c>
      <c r="D22" s="20">
        <v>0</v>
      </c>
      <c r="E22" s="20">
        <v>0</v>
      </c>
      <c r="F22" s="23"/>
      <c r="G22" s="23"/>
      <c r="H22" s="19"/>
    </row>
    <row r="23" spans="1:8" ht="15.75">
      <c r="A23" s="19">
        <v>21</v>
      </c>
      <c r="B23" s="20" t="s">
        <v>138</v>
      </c>
      <c r="C23" s="25" t="s">
        <v>36</v>
      </c>
      <c r="D23" s="20">
        <v>0</v>
      </c>
      <c r="E23" s="20">
        <v>0</v>
      </c>
      <c r="F23" s="23"/>
      <c r="G23" s="23"/>
      <c r="H23" s="19"/>
    </row>
    <row r="24" spans="1:8" ht="15.75">
      <c r="A24" s="19">
        <v>22</v>
      </c>
      <c r="B24" s="20" t="s">
        <v>138</v>
      </c>
      <c r="C24" s="25" t="s">
        <v>37</v>
      </c>
      <c r="D24" s="20">
        <v>0</v>
      </c>
      <c r="E24" s="20">
        <v>0</v>
      </c>
      <c r="F24" s="23"/>
      <c r="G24" s="23"/>
      <c r="H24" s="19"/>
    </row>
    <row r="25" spans="1:8" ht="15.75">
      <c r="A25" s="19">
        <v>23</v>
      </c>
      <c r="B25" s="20" t="s">
        <v>138</v>
      </c>
      <c r="C25" s="21" t="s">
        <v>38</v>
      </c>
      <c r="D25" s="20">
        <v>0</v>
      </c>
      <c r="E25" s="20">
        <v>0</v>
      </c>
      <c r="F25" s="23"/>
      <c r="G25" s="23"/>
      <c r="H25" s="19"/>
    </row>
    <row r="26" spans="1:8" ht="15.75">
      <c r="A26" s="19">
        <v>24</v>
      </c>
      <c r="B26" s="20" t="s">
        <v>138</v>
      </c>
      <c r="C26" s="21" t="s">
        <v>39</v>
      </c>
      <c r="D26" s="20">
        <v>84</v>
      </c>
      <c r="E26" s="20">
        <v>60</v>
      </c>
      <c r="F26" s="23"/>
      <c r="G26" s="23"/>
      <c r="H26" s="19"/>
    </row>
    <row r="27" spans="1:8" ht="15.75">
      <c r="A27" s="19">
        <v>25</v>
      </c>
      <c r="B27" s="20" t="s">
        <v>138</v>
      </c>
      <c r="C27" s="21" t="s">
        <v>40</v>
      </c>
      <c r="D27" s="20">
        <v>0</v>
      </c>
      <c r="E27" s="20">
        <v>0</v>
      </c>
      <c r="F27" s="23"/>
      <c r="G27" s="23"/>
      <c r="H27" s="19"/>
    </row>
    <row r="28" spans="1:8" ht="15.75">
      <c r="A28" s="19">
        <v>26</v>
      </c>
      <c r="B28" s="20" t="s">
        <v>138</v>
      </c>
      <c r="C28" s="21" t="s">
        <v>41</v>
      </c>
      <c r="D28" s="20">
        <v>0</v>
      </c>
      <c r="E28" s="20">
        <v>0</v>
      </c>
      <c r="F28" s="29"/>
      <c r="G28" s="29"/>
      <c r="H28" s="28"/>
    </row>
    <row r="29" spans="1:8" ht="15.75">
      <c r="A29" s="19">
        <v>27</v>
      </c>
      <c r="B29" s="20" t="s">
        <v>138</v>
      </c>
      <c r="C29" s="21" t="s">
        <v>42</v>
      </c>
      <c r="D29" s="20">
        <v>0</v>
      </c>
      <c r="E29" s="20">
        <v>0</v>
      </c>
      <c r="F29" s="29"/>
      <c r="G29" s="29"/>
      <c r="H29" s="28"/>
    </row>
    <row r="30" spans="1:8" ht="15.75">
      <c r="A30" s="19">
        <v>31</v>
      </c>
      <c r="B30" s="20" t="s">
        <v>138</v>
      </c>
      <c r="C30" s="21" t="s">
        <v>43</v>
      </c>
      <c r="D30" s="20">
        <v>0</v>
      </c>
      <c r="E30" s="20">
        <v>0</v>
      </c>
      <c r="F30" s="29"/>
      <c r="G30" s="29"/>
      <c r="H30" s="28"/>
    </row>
    <row r="31" spans="1:8">
      <c r="D31" s="45">
        <f>SUM(D3:D30)</f>
        <v>9533</v>
      </c>
      <c r="E31" s="45">
        <f>SUM(E3:E30)</f>
        <v>340</v>
      </c>
    </row>
  </sheetData>
  <mergeCells count="1">
    <mergeCell ref="A1:H1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13</vt:i4>
      </vt:variant>
    </vt:vector>
  </HeadingPairs>
  <TitlesOfParts>
    <vt:vector size="49" baseType="lpstr">
      <vt:lpstr>SFBL-PB</vt:lpstr>
      <vt:lpstr>SFBL-AD</vt:lpstr>
      <vt:lpstr>SFBL-GH</vt:lpstr>
      <vt:lpstr>STP</vt:lpstr>
      <vt:lpstr>ETP</vt:lpstr>
      <vt:lpstr>SETL-PB</vt:lpstr>
      <vt:lpstr>CCKL</vt:lpstr>
      <vt:lpstr>STL-AB</vt:lpstr>
      <vt:lpstr>STL-PB</vt:lpstr>
      <vt:lpstr>STL-UB</vt:lpstr>
      <vt:lpstr>HFL -AEPZ</vt:lpstr>
      <vt:lpstr>SHL-B</vt:lpstr>
      <vt:lpstr>Mawna</vt:lpstr>
      <vt:lpstr>Ashulia</vt:lpstr>
      <vt:lpstr>RCL</vt:lpstr>
      <vt:lpstr>Salvase Mawna-Ashulia</vt:lpstr>
      <vt:lpstr>SUMMARY01</vt:lpstr>
      <vt:lpstr>2026 stock 15.01.26</vt:lpstr>
      <vt:lpstr>2026 Stock 29.01.26</vt:lpstr>
      <vt:lpstr>Stock 12.02.26</vt:lpstr>
      <vt:lpstr>Stock 26.02.26</vt:lpstr>
      <vt:lpstr>2024=13-6-24 stock</vt:lpstr>
      <vt:lpstr>Summary</vt:lpstr>
      <vt:lpstr>Acme Construction</vt:lpstr>
      <vt:lpstr>ACME Technologies</vt:lpstr>
      <vt:lpstr>Juliyet Villa </vt:lpstr>
      <vt:lpstr>Fazilat</vt:lpstr>
      <vt:lpstr>Acme Dhrubotara</vt:lpstr>
      <vt:lpstr>Acme Polarish</vt:lpstr>
      <vt:lpstr>Chayaneer</vt:lpstr>
      <vt:lpstr>Bleesing</vt:lpstr>
      <vt:lpstr>Nasrin Kabir Garden</vt:lpstr>
      <vt:lpstr>Aukotex</vt:lpstr>
      <vt:lpstr>Chairman House</vt:lpstr>
      <vt:lpstr>Acme Nasrin Villa</vt:lpstr>
      <vt:lpstr>Acme Juliet Villa</vt:lpstr>
      <vt:lpstr>'2026 stock 15.01.26'!Print_Area</vt:lpstr>
      <vt:lpstr>'2026 Stock 29.01.26'!Print_Area</vt:lpstr>
      <vt:lpstr>Ashulia!Print_Area</vt:lpstr>
      <vt:lpstr>ETP!Print_Area</vt:lpstr>
      <vt:lpstr>'HFL -AEPZ'!Print_Area</vt:lpstr>
      <vt:lpstr>Mawna!Print_Area</vt:lpstr>
      <vt:lpstr>RCL!Print_Area</vt:lpstr>
      <vt:lpstr>'SFBL-AD'!Print_Area</vt:lpstr>
      <vt:lpstr>'SFBL-PB'!Print_Area</vt:lpstr>
      <vt:lpstr>'STL-AB'!Print_Area</vt:lpstr>
      <vt:lpstr>'STL-UB'!Print_Area</vt:lpstr>
      <vt:lpstr>'Stock 12.02.26'!Print_Area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Jaheen</cp:lastModifiedBy>
  <cp:lastPrinted>2026-03-04T06:17:00Z</cp:lastPrinted>
  <dcterms:created xsi:type="dcterms:W3CDTF">2024-02-10T10:51:00Z</dcterms:created>
  <dcterms:modified xsi:type="dcterms:W3CDTF">2026-04-08T07:39:41Z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0DA16B00FFE54E038983FF94250641BA_12</vt:lpwstr>
  </property>
  <property fmtid="{D5CDD505-2E9C-101B-9397-08002B2CF9AE}" pid="3" name="KSOProductBuildVer">
    <vt:lpwstr>1033-12.2.0.21931</vt:lpwstr>
  </property>
</Properties>
</file>